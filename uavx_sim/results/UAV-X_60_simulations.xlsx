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straints" sheetId="2" state="visible" r:id="rId4"/>
    <sheet name="All 60 Runs" sheetId="3" state="visible" r:id="rId5"/>
    <sheet name="Planner Comparison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report</author>
  </authors>
  <commentList>
    <comment ref="AF3" authorId="0">
      <text>
        <r>
          <rPr>
            <sz val="10"/>
            <rFont val="Arial"/>
            <family val="2"/>
          </rPr>
          <t xml:space="preserve">PASS only if every check in Z:AF passes.</t>
        </r>
      </text>
    </comment>
  </commentList>
</comments>
</file>

<file path=xl/sharedStrings.xml><?xml version="1.0" encoding="utf-8"?>
<sst xmlns="http://schemas.openxmlformats.org/spreadsheetml/2006/main" count="443" uniqueCount="215">
  <si>
    <t xml:space="preserve">UAV-X v3.1 - summary of the 60 simulations (all values are live formulas)</t>
  </si>
  <si>
    <t xml:space="preserve">Default planner adaptive-spare · E1 (critical fault on the busiest relay) · 30 dev + 30 held-out saved scenarios</t>
  </si>
  <si>
    <t xml:space="preserve">Metric</t>
  </si>
  <si>
    <t xml:space="preserve">Column</t>
  </si>
  <si>
    <t xml:space="preserve">All 60: mean</t>
  </si>
  <si>
    <t xml:space="preserve">All 60: median</t>
  </si>
  <si>
    <t xml:space="preserve">All 60: best</t>
  </si>
  <si>
    <t xml:space="preserve">All 60: worst</t>
  </si>
  <si>
    <t xml:space="preserve">Dev: mean</t>
  </si>
  <si>
    <t xml:space="preserve">Held-out: mean</t>
  </si>
  <si>
    <t xml:space="preserve">Runs with value</t>
  </si>
  <si>
    <t xml:space="preserve">Imagery complete (s)</t>
  </si>
  <si>
    <t xml:space="preserve">F</t>
  </si>
  <si>
    <t xml:space="preserve">Fleet landed (s)</t>
  </si>
  <si>
    <t xml:space="preserve">G</t>
  </si>
  <si>
    <t xml:space="preserve">High-priority response (s)</t>
  </si>
  <si>
    <t xml:space="preserve">H</t>
  </si>
  <si>
    <t xml:space="preserve">Sites within 60 s (fraction)</t>
  </si>
  <si>
    <t xml:space="preserve">I</t>
  </si>
  <si>
    <t xml:space="preserve">Connectivity (%)</t>
  </si>
  <si>
    <t xml:space="preserve">J</t>
  </si>
  <si>
    <t xml:space="preserve">Time partitioned (%)</t>
  </si>
  <si>
    <t xml:space="preserve">K</t>
  </si>
  <si>
    <t xml:space="preserve">Time with a critical relay (%)</t>
  </si>
  <si>
    <t xml:space="preserve">L</t>
  </si>
  <si>
    <t xml:space="preserve">Time redundant (%)</t>
  </si>
  <si>
    <t xml:space="preserve">M</t>
  </si>
  <si>
    <t xml:space="preserve">Disconnected UAV-s</t>
  </si>
  <si>
    <t xml:space="preserve">N</t>
  </si>
  <si>
    <t xml:space="preserve">Heartbeat PDR (%)</t>
  </si>
  <si>
    <t xml:space="preserve">O</t>
  </si>
  <si>
    <t xml:space="preserve">Command ack p95 (s)</t>
  </si>
  <si>
    <t xml:space="preserve">P</t>
  </si>
  <si>
    <t xml:space="preserve">UAVs orphaned by fault</t>
  </si>
  <si>
    <t xml:space="preserve">Q</t>
  </si>
  <si>
    <t xml:space="preserve">Stable recovery confirmed (s)</t>
  </si>
  <si>
    <t xml:space="preserve">R</t>
  </si>
  <si>
    <t xml:space="preserve">Fault UAV-s disconnected</t>
  </si>
  <si>
    <t xml:space="preserve">S</t>
  </si>
  <si>
    <t xml:space="preserve">Min separation (m)</t>
  </si>
  <si>
    <t xml:space="preserve">U</t>
  </si>
  <si>
    <t xml:space="preserve">Min landing battery (%)</t>
  </si>
  <si>
    <t xml:space="preserve">Y</t>
  </si>
  <si>
    <t xml:space="preserve">Pass counts (formulas over the check columns)</t>
  </si>
  <si>
    <t xml:space="preserve">Check</t>
  </si>
  <si>
    <t xml:space="preserve">All 60</t>
  </si>
  <si>
    <t xml:space="preserve">Dev (of 30)</t>
  </si>
  <si>
    <t xml:space="preserve">Held-out (of 30)</t>
  </si>
  <si>
    <t xml:space="preserve">Imagery complete within limit</t>
  </si>
  <si>
    <t xml:space="preserve">Z</t>
  </si>
  <si>
    <t xml:space="preserve">High-priority response within limit</t>
  </si>
  <si>
    <t xml:space="preserve">AA</t>
  </si>
  <si>
    <t xml:space="preserve">Timely sites &gt;= minimum</t>
  </si>
  <si>
    <t xml:space="preserve">AB</t>
  </si>
  <si>
    <t xml:space="preserve">Separation &gt;= 5 m, no near miss</t>
  </si>
  <si>
    <t xml:space="preserve">AC</t>
  </si>
  <si>
    <t xml:space="preserve">Landing battery &gt;= reserve</t>
  </si>
  <si>
    <t xml:space="preserve">AD</t>
  </si>
  <si>
    <t xml:space="preserve">No collision / depletion; fleet landed in time</t>
  </si>
  <si>
    <t xml:space="preserve">AE</t>
  </si>
  <si>
    <t xml:space="preserve">ALL CHECKS (operational success)</t>
  </si>
  <si>
    <t xml:space="preserve">AF</t>
  </si>
  <si>
    <t xml:space="preserve">Total near misses (&lt; 5 m)</t>
  </si>
  <si>
    <t xml:space="preserve">V</t>
  </si>
  <si>
    <t xml:space="preserve">Total collisions (&lt; 1.5 m proxy)</t>
  </si>
  <si>
    <t xml:space="preserve">W</t>
  </si>
  <si>
    <t xml:space="preserve">Total battery depletions</t>
  </si>
  <si>
    <t xml:space="preserve">X</t>
  </si>
  <si>
    <t xml:space="preserve">Total energy handovers</t>
  </si>
  <si>
    <t xml:space="preserve">T</t>
  </si>
  <si>
    <t xml:space="preserve">Best/worst: for 'lower is better' metrics best = MIN, worst = MAX, and the reverse for 'higher is better'. Blank cells (e.g. no orphaned UAVs, so no recovery to time) are ignored by AVERAGE/MEDIAN; 'Runs with value' shows the count.</t>
  </si>
  <si>
    <t xml:space="preserve">Predeclared INTERNAL constraints (config.CONSTRAINTS, fixed 2026-09-25)</t>
  </si>
  <si>
    <t xml:space="preserve">Constraint</t>
  </si>
  <si>
    <t xml:space="preserve">Threshold</t>
  </si>
  <si>
    <t xml:space="preserve">Unit</t>
  </si>
  <si>
    <t xml:space="preserve">Meaning</t>
  </si>
  <si>
    <t xml:space="preserve">Imagery complete by</t>
  </si>
  <si>
    <t xml:space="preserve">s</t>
  </si>
  <si>
    <t xml:space="preserve">All site imagery must reach the GCS by this time</t>
  </si>
  <si>
    <t xml:space="preserve">Fleet landed by</t>
  </si>
  <si>
    <t xml:space="preserve">Every surviving UAV on its pad (observer)</t>
  </si>
  <si>
    <t xml:space="preserve">High-priority response</t>
  </si>
  <si>
    <t xml:space="preserve">New high-priority report -&gt; its imagery at GCS</t>
  </si>
  <si>
    <t xml:space="preserve">Timely sites, minimum fraction</t>
  </si>
  <si>
    <t xml:space="preserve">fraction</t>
  </si>
  <si>
    <t xml:space="preserve">Sites whose imagery arrives &lt;= 60 s after survey</t>
  </si>
  <si>
    <t xml:space="preserve">Minimum separation</t>
  </si>
  <si>
    <t xml:space="preserve">m</t>
  </si>
  <si>
    <t xml:space="preserve">No controller-caused separation below this</t>
  </si>
  <si>
    <t xml:space="preserve">Collision proxy</t>
  </si>
  <si>
    <t xml:space="preserve">Geometric contact proxy; must never occur</t>
  </si>
  <si>
    <t xml:space="preserve">Minimum landing battery</t>
  </si>
  <si>
    <t xml:space="preserve">%</t>
  </si>
  <si>
    <t xml:space="preserve">The energy reserve</t>
  </si>
  <si>
    <t xml:space="preserve">Blue text on yellow = inputs. Changing a threshold here re-evaluates every check column on the 'All 60 Runs' sheet and the pass counts on 'Summary'. Source: user-approved internal test thresholds (UAV-X publishes none for Stage 1).</t>
  </si>
  <si>
    <t xml:space="preserve">UAV-X v3.1 - all 60 simulations (E1: critical fault on the busiest relay, default planner adaptive-spare, 30 dev + 30 held-out scenarios)</t>
  </si>
  <si>
    <t xml:space="preserve">Live formula checks -&gt;</t>
  </si>
  <si>
    <t xml:space="preserve">#</t>
  </si>
  <si>
    <t xml:space="preserve">Set</t>
  </si>
  <si>
    <t xml:space="preserve">Scenario</t>
  </si>
  <si>
    <t xml:space="preserve">Fault</t>
  </si>
  <si>
    <t xml:space="preserve">Faulted UAV</t>
  </si>
  <si>
    <t xml:space="preserve">Partitioned (%)</t>
  </si>
  <si>
    <t xml:space="preserve">Critical relay (%)</t>
  </si>
  <si>
    <t xml:space="preserve">Redundant (%)</t>
  </si>
  <si>
    <t xml:space="preserve">Handovers</t>
  </si>
  <si>
    <t xml:space="preserve">Near misses</t>
  </si>
  <si>
    <t xml:space="preserve">Collisions</t>
  </si>
  <si>
    <t xml:space="preserve">Depletions</t>
  </si>
  <si>
    <t xml:space="preserve">CHECK imagery &lt;= limit</t>
  </si>
  <si>
    <t xml:space="preserve">CHECK HP &lt;= limit</t>
  </si>
  <si>
    <t xml:space="preserve">CHECK timely &gt;= min</t>
  </si>
  <si>
    <t xml:space="preserve">CHECK separation</t>
  </si>
  <si>
    <t xml:space="preserve">CHECK landing &gt;= reserve</t>
  </si>
  <si>
    <t xml:space="preserve">CHECK no collision / depletion</t>
  </si>
  <si>
    <t xml:space="preserve">ALL CHECKS (formula)</t>
  </si>
  <si>
    <t xml:space="preserve">Simulator verdict</t>
  </si>
  <si>
    <t xml:space="preserve">dev</t>
  </si>
  <si>
    <t xml:space="preserve">seed_000</t>
  </si>
  <si>
    <t xml:space="preserve">failsafe-busiest</t>
  </si>
  <si>
    <t xml:space="preserve">PASS</t>
  </si>
  <si>
    <t xml:space="preserve">seed_001</t>
  </si>
  <si>
    <t xml:space="preserve">hard-busiest</t>
  </si>
  <si>
    <t xml:space="preserve">seed_002</t>
  </si>
  <si>
    <t xml:space="preserve">seed_003</t>
  </si>
  <si>
    <t xml:space="preserve">seed_004</t>
  </si>
  <si>
    <t xml:space="preserve">seed_005</t>
  </si>
  <si>
    <t xml:space="preserve">seed_006</t>
  </si>
  <si>
    <t xml:space="preserve">seed_007</t>
  </si>
  <si>
    <t xml:space="preserve">seed_008</t>
  </si>
  <si>
    <t xml:space="preserve">seed_009</t>
  </si>
  <si>
    <t xml:space="preserve">seed_010</t>
  </si>
  <si>
    <t xml:space="preserve">seed_011</t>
  </si>
  <si>
    <t xml:space="preserve">seed_012</t>
  </si>
  <si>
    <t xml:space="preserve">seed_013</t>
  </si>
  <si>
    <t xml:space="preserve">seed_014</t>
  </si>
  <si>
    <t xml:space="preserve">seed_015</t>
  </si>
  <si>
    <t xml:space="preserve">seed_016</t>
  </si>
  <si>
    <t xml:space="preserve">seed_017</t>
  </si>
  <si>
    <t xml:space="preserve">seed_018</t>
  </si>
  <si>
    <t xml:space="preserve">seed_019</t>
  </si>
  <si>
    <t xml:space="preserve">seed_020</t>
  </si>
  <si>
    <t xml:space="preserve">seed_021</t>
  </si>
  <si>
    <t xml:space="preserve">seed_022</t>
  </si>
  <si>
    <t xml:space="preserve">seed_023</t>
  </si>
  <si>
    <t xml:space="preserve">seed_024</t>
  </si>
  <si>
    <t xml:space="preserve">seed_025</t>
  </si>
  <si>
    <t xml:space="preserve">seed_026</t>
  </si>
  <si>
    <t xml:space="preserve">seed_027</t>
  </si>
  <si>
    <t xml:space="preserve">seed_028</t>
  </si>
  <si>
    <t xml:space="preserve">seed_029</t>
  </si>
  <si>
    <t xml:space="preserve">held-out</t>
  </si>
  <si>
    <t xml:space="preserve">seed_100</t>
  </si>
  <si>
    <t xml:space="preserve">seed_101</t>
  </si>
  <si>
    <t xml:space="preserve">seed_102</t>
  </si>
  <si>
    <t xml:space="preserve">seed_103</t>
  </si>
  <si>
    <t xml:space="preserve">seed_104</t>
  </si>
  <si>
    <t xml:space="preserve">seed_105</t>
  </si>
  <si>
    <t xml:space="preserve">seed_106</t>
  </si>
  <si>
    <t xml:space="preserve">seed_107</t>
  </si>
  <si>
    <t xml:space="preserve">seed_108</t>
  </si>
  <si>
    <t xml:space="preserve">seed_109</t>
  </si>
  <si>
    <t xml:space="preserve">seed_110</t>
  </si>
  <si>
    <t xml:space="preserve">seed_111</t>
  </si>
  <si>
    <t xml:space="preserve">seed_112</t>
  </si>
  <si>
    <t xml:space="preserve">seed_113</t>
  </si>
  <si>
    <t xml:space="preserve">seed_114</t>
  </si>
  <si>
    <t xml:space="preserve">seed_115</t>
  </si>
  <si>
    <t xml:space="preserve">seed_116</t>
  </si>
  <si>
    <t xml:space="preserve">seed_117</t>
  </si>
  <si>
    <t xml:space="preserve">seed_118</t>
  </si>
  <si>
    <t xml:space="preserve">seed_119</t>
  </si>
  <si>
    <t xml:space="preserve">seed_120</t>
  </si>
  <si>
    <t xml:space="preserve">seed_121</t>
  </si>
  <si>
    <t xml:space="preserve">seed_122</t>
  </si>
  <si>
    <t xml:space="preserve">seed_123</t>
  </si>
  <si>
    <t xml:space="preserve">seed_124</t>
  </si>
  <si>
    <t xml:space="preserve">seed_125</t>
  </si>
  <si>
    <t xml:space="preserve">seed_126</t>
  </si>
  <si>
    <t xml:space="preserve">seed_127</t>
  </si>
  <si>
    <t xml:space="preserve">seed_128</t>
  </si>
  <si>
    <t xml:space="preserve">seed_129</t>
  </si>
  <si>
    <t xml:space="preserve">Columns A-Y: values written by the simulator (results/evaluation/E1-busiest__dev.json and __heldout.json). Blank 'Stable recovery confirmed' = no UAV was orphaned, so there was nothing to recover. Columns Z-AF: live Excel formulas against the Constraints sheet; AG: the simulator's own verdict, for cross-checking.</t>
  </si>
  <si>
    <t xml:space="preserve">Same 60 scenarios, four planners (values from results/evaluation/*.json; median / worst)</t>
  </si>
  <si>
    <t xml:space="preserve">adaptive-spare</t>
  </si>
  <si>
    <t xml:space="preserve">adaptive-reserve</t>
  </si>
  <si>
    <t xml:space="preserve">adaptive-conditional</t>
  </si>
  <si>
    <t xml:space="preserve">fixed-baseline</t>
  </si>
  <si>
    <t xml:space="preserve">Operational success (runs of 30)</t>
  </si>
  <si>
    <t xml:space="preserve">Eventually complete (runs of 30)</t>
  </si>
  <si>
    <t xml:space="preserve">Imagery complete, median (s)</t>
  </si>
  <si>
    <t xml:space="preserve">Imagery complete, worst (s)</t>
  </si>
  <si>
    <t xml:space="preserve">High-priority response, worst (s)</t>
  </si>
  <si>
    <t xml:space="preserve">Connectivity, median (%)</t>
  </si>
  <si>
    <t xml:space="preserve">Connectivity, worst (%)</t>
  </si>
  <si>
    <t xml:space="preserve">UAVs orphaned by fault, mean</t>
  </si>
  <si>
    <t xml:space="preserve">Stable recovery confirmed, median (s)</t>
  </si>
  <si>
    <t xml:space="preserve">none orphaned</t>
  </si>
  <si>
    <t xml:space="preserve">Near misses (total events)</t>
  </si>
  <si>
    <t xml:space="preserve">Collisions (total events)</t>
  </si>
  <si>
    <t xml:space="preserve">Hardcoded values: copied from the benchmark summaries written by tools/evaluate.py (results/evaluation/E1-busiest__dev.json, __heldout.json).</t>
  </si>
  <si>
    <t xml:space="preserve">How these results were produced</t>
  </si>
  <si>
    <t xml:space="preserve">Command: python tools/evaluate.py  (saved scenarios in scenarios/dev and scenarios/heldout).</t>
  </si>
  <si>
    <t xml:space="preserve">Each scenario: 7 random sites 0.5-2.4 km from the GCS, random initial batteries (45-100 %),</t>
  </si>
  <si>
    <t xml:space="preserve">a critical fault (hard or failsafe) on the busiest relay at 100-260 s, a new high-priority site,</t>
  </si>
  <si>
    <t xml:space="preserve">a 15-60 s radio outage and a 35-55 % energy-availability fault on the GCS-side relay.</t>
  </si>
  <si>
    <t xml:space="preserve">Channel loss uses common random numbers, so every planner sees the same channel realisation.</t>
  </si>
  <si>
    <t xml:space="preserve">Definitions (full list in docs/METRICS.md and in the PDF report)</t>
  </si>
  <si>
    <t xml:space="preserve">Connectivity % = mean over time of (airborne UAVs with a route / airborne UAVs).</t>
  </si>
  <si>
    <t xml:space="preserve">Disconnected UAV-s = sum over 64 ms steps of (airborne UAVs without a route) x 0.064 s.</t>
  </si>
  <si>
    <t xml:space="preserve">Heartbeat PDR % = heartbeats delivered within 2 s / heartbeats generated (per send cohort).</t>
  </si>
  <si>
    <t xml:space="preserve">Stable recovery confirmed = start of the first 5 s interval with every orphaned UAV routed, + 5 s.</t>
  </si>
  <si>
    <t xml:space="preserve">Min separation = closest approach of any UAV pair, checked continuously between samples.</t>
  </si>
  <si>
    <t xml:space="preserve">All thresholds are internal test constraints, not organiser rules. Simulation only: kinematic</t>
  </si>
  <si>
    <t xml:space="preserve">flight, abstracted faults, uncalibrated radio model, time-compressed 60 s battery swap.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</si>
</sst>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0.00"/>
    <numFmt numFmtId="168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n">
        <f aca="false">AVERAGE('All 60 Runs'!F4:F63)</f>
        <v>559.86</v>
      </c>
      <c r="D5" s="5" t="n">
        <f aca="false">MEDIAN('All 60 Runs'!F4:F63)</f>
        <v>542.75</v>
      </c>
      <c r="E5" s="5" t="n">
        <f aca="false">MIN('All 60 Runs'!F4:F63)</f>
        <v>300.2</v>
      </c>
      <c r="F5" s="5" t="n">
        <f aca="false">MAX('All 60 Runs'!F4:F63)</f>
        <v>871.5</v>
      </c>
      <c r="G5" s="5" t="n">
        <f aca="false">AVERAGEIFS('All 60 Runs'!F4:F63,'All 60 Runs'!B4:B63,"dev")</f>
        <v>521.573333333333</v>
      </c>
      <c r="H5" s="5" t="n">
        <f aca="false">AVERAGEIFS('All 60 Runs'!F4:F63,'All 60 Runs'!B4:B63,"held-out")</f>
        <v>598.146666666667</v>
      </c>
      <c r="I5" s="5" t="n">
        <f aca="false">COUNT('All 60 Runs'!F4:F63)</f>
        <v>60</v>
      </c>
    </row>
    <row r="6" customFormat="false" ht="15" hidden="false" customHeight="false" outlineLevel="0" collapsed="false">
      <c r="A6" s="4" t="s">
        <v>13</v>
      </c>
      <c r="B6" s="4" t="s">
        <v>14</v>
      </c>
      <c r="C6" s="5" t="n">
        <f aca="false">AVERAGE('All 60 Runs'!G4:G63)</f>
        <v>680.471666666667</v>
      </c>
      <c r="D6" s="5" t="n">
        <f aca="false">MEDIAN('All 60 Runs'!G4:G63)</f>
        <v>670.4</v>
      </c>
      <c r="E6" s="5" t="n">
        <f aca="false">MIN('All 60 Runs'!G4:G63)</f>
        <v>371.1</v>
      </c>
      <c r="F6" s="5" t="n">
        <f aca="false">MAX('All 60 Runs'!G4:G63)</f>
        <v>1007</v>
      </c>
      <c r="G6" s="5" t="n">
        <f aca="false">AVERAGEIFS('All 60 Runs'!G4:G63,'All 60 Runs'!B4:B63,"dev")</f>
        <v>639.696666666667</v>
      </c>
      <c r="H6" s="5" t="n">
        <f aca="false">AVERAGEIFS('All 60 Runs'!G4:G63,'All 60 Runs'!B4:B63,"held-out")</f>
        <v>721.246666666667</v>
      </c>
      <c r="I6" s="5" t="n">
        <f aca="false">COUNT('All 60 Runs'!G4:G63)</f>
        <v>60</v>
      </c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f aca="false">AVERAGE('All 60 Runs'!H4:H63)</f>
        <v>87.4516666666667</v>
      </c>
      <c r="D7" s="5" t="n">
        <f aca="false">MEDIAN('All 60 Runs'!H4:H63)</f>
        <v>83.3</v>
      </c>
      <c r="E7" s="5" t="n">
        <f aca="false">MIN('All 60 Runs'!H4:H63)</f>
        <v>23.3</v>
      </c>
      <c r="F7" s="5" t="n">
        <f aca="false">MAX('All 60 Runs'!H4:H63)</f>
        <v>217.7</v>
      </c>
      <c r="G7" s="5" t="n">
        <f aca="false">AVERAGEIFS('All 60 Runs'!H4:H63,'All 60 Runs'!B4:B63,"dev")</f>
        <v>77.35</v>
      </c>
      <c r="H7" s="5" t="n">
        <f aca="false">AVERAGEIFS('All 60 Runs'!H4:H63,'All 60 Runs'!B4:B63,"held-out")</f>
        <v>97.5533333333333</v>
      </c>
      <c r="I7" s="5" t="n">
        <f aca="false">COUNT('All 60 Runs'!H4:H63)</f>
        <v>60</v>
      </c>
    </row>
    <row r="8" customFormat="false" ht="15" hidden="false" customHeight="false" outlineLevel="0" collapsed="false">
      <c r="A8" s="4" t="s">
        <v>17</v>
      </c>
      <c r="B8" s="4" t="s">
        <v>18</v>
      </c>
      <c r="C8" s="6" t="n">
        <f aca="false">AVERAGE('All 60 Runs'!I4:I63)</f>
        <v>0.977083333333333</v>
      </c>
      <c r="D8" s="6" t="n">
        <f aca="false">MEDIAN('All 60 Runs'!I4:I63)</f>
        <v>1</v>
      </c>
      <c r="E8" s="6" t="n">
        <f aca="false">MAX('All 60 Runs'!I4:I63)</f>
        <v>1</v>
      </c>
      <c r="F8" s="6" t="n">
        <f aca="false">MIN('All 60 Runs'!I4:I63)</f>
        <v>0.875</v>
      </c>
      <c r="G8" s="6" t="n">
        <f aca="false">AVERAGEIFS('All 60 Runs'!I4:I63,'All 60 Runs'!B4:B63,"dev")</f>
        <v>0.979166666666667</v>
      </c>
      <c r="H8" s="6" t="n">
        <f aca="false">AVERAGEIFS('All 60 Runs'!I4:I63,'All 60 Runs'!B4:B63,"held-out")</f>
        <v>0.975</v>
      </c>
      <c r="I8" s="6" t="n">
        <f aca="false">COUNT('All 60 Runs'!I4:I63)</f>
        <v>60</v>
      </c>
    </row>
    <row r="9" customFormat="false" ht="15" hidden="false" customHeight="false" outlineLevel="0" collapsed="false">
      <c r="A9" s="4" t="s">
        <v>19</v>
      </c>
      <c r="B9" s="4" t="s">
        <v>20</v>
      </c>
      <c r="C9" s="5" t="n">
        <f aca="false">AVERAGE('All 60 Runs'!J4:J63)</f>
        <v>93.5316666666667</v>
      </c>
      <c r="D9" s="5" t="n">
        <f aca="false">MEDIAN('All 60 Runs'!J4:J63)</f>
        <v>93.5</v>
      </c>
      <c r="E9" s="5" t="n">
        <f aca="false">MAX('All 60 Runs'!J4:J63)</f>
        <v>99.1</v>
      </c>
      <c r="F9" s="5" t="n">
        <f aca="false">MIN('All 60 Runs'!J4:J63)</f>
        <v>74.9</v>
      </c>
      <c r="G9" s="5" t="n">
        <f aca="false">AVERAGEIFS('All 60 Runs'!J4:J63,'All 60 Runs'!B4:B63,"dev")</f>
        <v>94.2</v>
      </c>
      <c r="H9" s="5" t="n">
        <f aca="false">AVERAGEIFS('All 60 Runs'!J4:J63,'All 60 Runs'!B4:B63,"held-out")</f>
        <v>92.8633333333333</v>
      </c>
      <c r="I9" s="5" t="n">
        <f aca="false">COUNT('All 60 Runs'!J4:J63)</f>
        <v>60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5" t="n">
        <f aca="false">AVERAGE('All 60 Runs'!K4:K63)</f>
        <v>19.6916666666667</v>
      </c>
      <c r="D10" s="5" t="n">
        <f aca="false">MEDIAN('All 60 Runs'!K4:K63)</f>
        <v>20</v>
      </c>
      <c r="E10" s="5" t="n">
        <f aca="false">MIN('All 60 Runs'!K4:K63)</f>
        <v>3.6</v>
      </c>
      <c r="F10" s="5" t="n">
        <f aca="false">MAX('All 60 Runs'!K4:K63)</f>
        <v>45.4</v>
      </c>
      <c r="G10" s="5" t="n">
        <f aca="false">AVERAGEIFS('All 60 Runs'!K4:K63,'All 60 Runs'!B4:B63,"dev")</f>
        <v>18.01</v>
      </c>
      <c r="H10" s="5" t="n">
        <f aca="false">AVERAGEIFS('All 60 Runs'!K4:K63,'All 60 Runs'!B4:B63,"held-out")</f>
        <v>21.3733333333333</v>
      </c>
      <c r="I10" s="5" t="n">
        <f aca="false">COUNT('All 60 Runs'!K4:K63)</f>
        <v>60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5" t="n">
        <f aca="false">AVERAGE('All 60 Runs'!L4:L63)</f>
        <v>55.8383333333333</v>
      </c>
      <c r="D11" s="5" t="n">
        <f aca="false">MEDIAN('All 60 Runs'!L4:L63)</f>
        <v>57</v>
      </c>
      <c r="E11" s="5" t="n">
        <f aca="false">MIN('All 60 Runs'!L4:L63)</f>
        <v>18.3</v>
      </c>
      <c r="F11" s="5" t="n">
        <f aca="false">MAX('All 60 Runs'!L4:L63)</f>
        <v>76.9</v>
      </c>
      <c r="G11" s="5" t="n">
        <f aca="false">AVERAGEIFS('All 60 Runs'!L4:L63,'All 60 Runs'!B4:B63,"dev")</f>
        <v>55.6666666666667</v>
      </c>
      <c r="H11" s="5" t="n">
        <f aca="false">AVERAGEIFS('All 60 Runs'!L4:L63,'All 60 Runs'!B4:B63,"held-out")</f>
        <v>56.01</v>
      </c>
      <c r="I11" s="5" t="n">
        <f aca="false">COUNT('All 60 Runs'!L4:L63)</f>
        <v>60</v>
      </c>
    </row>
    <row r="12" customFormat="false" ht="15" hidden="false" customHeight="false" outlineLevel="0" collapsed="false">
      <c r="A12" s="4" t="s">
        <v>25</v>
      </c>
      <c r="B12" s="4" t="s">
        <v>26</v>
      </c>
      <c r="C12" s="5" t="n">
        <f aca="false">AVERAGE('All 60 Runs'!M4:M63)</f>
        <v>24.4816666666667</v>
      </c>
      <c r="D12" s="5" t="n">
        <f aca="false">MEDIAN('All 60 Runs'!M4:M63)</f>
        <v>22.3</v>
      </c>
      <c r="E12" s="5" t="n">
        <f aca="false">MAX('All 60 Runs'!M4:M63)</f>
        <v>49.4</v>
      </c>
      <c r="F12" s="5" t="n">
        <f aca="false">MIN('All 60 Runs'!M4:M63)</f>
        <v>13.4</v>
      </c>
      <c r="G12" s="5" t="n">
        <f aca="false">AVERAGEIFS('All 60 Runs'!M4:M63,'All 60 Runs'!B4:B63,"dev")</f>
        <v>26.33</v>
      </c>
      <c r="H12" s="5" t="n">
        <f aca="false">AVERAGEIFS('All 60 Runs'!M4:M63,'All 60 Runs'!B4:B63,"held-out")</f>
        <v>22.6333333333333</v>
      </c>
      <c r="I12" s="5" t="n">
        <f aca="false">COUNT('All 60 Runs'!M4:M63)</f>
        <v>60</v>
      </c>
    </row>
    <row r="13" customFormat="false" ht="15" hidden="false" customHeight="false" outlineLevel="0" collapsed="false">
      <c r="A13" s="4" t="s">
        <v>27</v>
      </c>
      <c r="B13" s="4" t="s">
        <v>28</v>
      </c>
      <c r="C13" s="5" t="n">
        <f aca="false">AVERAGE('All 60 Runs'!N4:N63)</f>
        <v>163.79</v>
      </c>
      <c r="D13" s="5" t="n">
        <f aca="false">MEDIAN('All 60 Runs'!N4:N63)</f>
        <v>155.25</v>
      </c>
      <c r="E13" s="5" t="n">
        <f aca="false">MIN('All 60 Runs'!N4:N63)</f>
        <v>12.4</v>
      </c>
      <c r="F13" s="5" t="n">
        <f aca="false">MAX('All 60 Runs'!N4:N63)</f>
        <v>707.6</v>
      </c>
      <c r="G13" s="5" t="n">
        <f aca="false">AVERAGEIFS('All 60 Runs'!N4:N63,'All 60 Runs'!B4:B63,"dev")</f>
        <v>139.843333333333</v>
      </c>
      <c r="H13" s="5" t="n">
        <f aca="false">AVERAGEIFS('All 60 Runs'!N4:N63,'All 60 Runs'!B4:B63,"held-out")</f>
        <v>187.736666666667</v>
      </c>
      <c r="I13" s="5" t="n">
        <f aca="false">COUNT('All 60 Runs'!N4:N63)</f>
        <v>60</v>
      </c>
    </row>
    <row r="14" customFormat="false" ht="15" hidden="false" customHeight="false" outlineLevel="0" collapsed="false">
      <c r="A14" s="4" t="s">
        <v>29</v>
      </c>
      <c r="B14" s="4" t="s">
        <v>30</v>
      </c>
      <c r="C14" s="5" t="n">
        <f aca="false">AVERAGE('All 60 Runs'!O4:O63)</f>
        <v>94.3033333333333</v>
      </c>
      <c r="D14" s="5" t="n">
        <f aca="false">MEDIAN('All 60 Runs'!O4:O63)</f>
        <v>94.3</v>
      </c>
      <c r="E14" s="5" t="n">
        <f aca="false">MAX('All 60 Runs'!O4:O63)</f>
        <v>99.4</v>
      </c>
      <c r="F14" s="5" t="n">
        <f aca="false">MIN('All 60 Runs'!O4:O63)</f>
        <v>79.9</v>
      </c>
      <c r="G14" s="5" t="n">
        <f aca="false">AVERAGEIFS('All 60 Runs'!O4:O63,'All 60 Runs'!B4:B63,"dev")</f>
        <v>94.6933333333333</v>
      </c>
      <c r="H14" s="5" t="n">
        <f aca="false">AVERAGEIFS('All 60 Runs'!O4:O63,'All 60 Runs'!B4:B63,"held-out")</f>
        <v>93.9133333333333</v>
      </c>
      <c r="I14" s="5" t="n">
        <f aca="false">COUNT('All 60 Runs'!O4:O63)</f>
        <v>60</v>
      </c>
    </row>
    <row r="15" customFormat="false" ht="15" hidden="false" customHeight="false" outlineLevel="0" collapsed="false">
      <c r="A15" s="4" t="s">
        <v>31</v>
      </c>
      <c r="B15" s="4" t="s">
        <v>32</v>
      </c>
      <c r="C15" s="7" t="n">
        <f aca="false">AVERAGE('All 60 Runs'!P4:P63)</f>
        <v>0.615866666666667</v>
      </c>
      <c r="D15" s="7" t="n">
        <f aca="false">MEDIAN('All 60 Runs'!P4:P63)</f>
        <v>0.616</v>
      </c>
      <c r="E15" s="7" t="n">
        <f aca="false">MIN('All 60 Runs'!P4:P63)</f>
        <v>0.58</v>
      </c>
      <c r="F15" s="7" t="n">
        <f aca="false">MAX('All 60 Runs'!P4:P63)</f>
        <v>0.703</v>
      </c>
      <c r="G15" s="7" t="n">
        <f aca="false">AVERAGEIFS('All 60 Runs'!P4:P63,'All 60 Runs'!B4:B63,"dev")</f>
        <v>0.62</v>
      </c>
      <c r="H15" s="7" t="n">
        <f aca="false">AVERAGEIFS('All 60 Runs'!P4:P63,'All 60 Runs'!B4:B63,"held-out")</f>
        <v>0.611733333333333</v>
      </c>
      <c r="I15" s="7" t="n">
        <f aca="false">COUNT('All 60 Runs'!P4:P63)</f>
        <v>60</v>
      </c>
    </row>
    <row r="16" customFormat="false" ht="15" hidden="false" customHeight="false" outlineLevel="0" collapsed="false">
      <c r="A16" s="4" t="s">
        <v>33</v>
      </c>
      <c r="B16" s="4" t="s">
        <v>34</v>
      </c>
      <c r="C16" s="5" t="n">
        <f aca="false">AVERAGE('All 60 Runs'!Q4:Q63)</f>
        <v>1.06666666666667</v>
      </c>
      <c r="D16" s="5" t="n">
        <f aca="false">MEDIAN('All 60 Runs'!Q4:Q63)</f>
        <v>0</v>
      </c>
      <c r="E16" s="5" t="n">
        <f aca="false">MIN('All 60 Runs'!Q4:Q63)</f>
        <v>0</v>
      </c>
      <c r="F16" s="5" t="n">
        <f aca="false">MAX('All 60 Runs'!Q4:Q63)</f>
        <v>4</v>
      </c>
      <c r="G16" s="5" t="n">
        <f aca="false">AVERAGEIFS('All 60 Runs'!Q4:Q63,'All 60 Runs'!B4:B63,"dev")</f>
        <v>1.23333333333333</v>
      </c>
      <c r="H16" s="5" t="n">
        <f aca="false">AVERAGEIFS('All 60 Runs'!Q4:Q63,'All 60 Runs'!B4:B63,"held-out")</f>
        <v>0.9</v>
      </c>
      <c r="I16" s="5" t="n">
        <f aca="false">COUNT('All 60 Runs'!Q4:Q63)</f>
        <v>60</v>
      </c>
    </row>
    <row r="17" customFormat="false" ht="15" hidden="false" customHeight="false" outlineLevel="0" collapsed="false">
      <c r="A17" s="4" t="s">
        <v>35</v>
      </c>
      <c r="B17" s="4" t="s">
        <v>36</v>
      </c>
      <c r="C17" s="5" t="n">
        <f aca="false">AVERAGE('All 60 Runs'!R4:R63)</f>
        <v>22.4988235294118</v>
      </c>
      <c r="D17" s="5" t="n">
        <f aca="false">MEDIAN('All 60 Runs'!R4:R63)</f>
        <v>21.57</v>
      </c>
      <c r="E17" s="5" t="n">
        <f aca="false">MIN('All 60 Runs'!R4:R63)</f>
        <v>10.75</v>
      </c>
      <c r="F17" s="5" t="n">
        <f aca="false">MAX('All 60 Runs'!R4:R63)</f>
        <v>37.06</v>
      </c>
      <c r="G17" s="5" t="n">
        <f aca="false">AVERAGEIFS('All 60 Runs'!R4:R63,'All 60 Runs'!B4:B63,"dev")</f>
        <v>23.149</v>
      </c>
      <c r="H17" s="5" t="n">
        <f aca="false">AVERAGEIFS('All 60 Runs'!R4:R63,'All 60 Runs'!B4:B63,"held-out")</f>
        <v>21.57</v>
      </c>
      <c r="I17" s="5" t="n">
        <f aca="false">COUNT('All 60 Runs'!R4:R63)</f>
        <v>17</v>
      </c>
    </row>
    <row r="18" customFormat="false" ht="15" hidden="false" customHeight="false" outlineLevel="0" collapsed="false">
      <c r="A18" s="4" t="s">
        <v>37</v>
      </c>
      <c r="B18" s="4" t="s">
        <v>38</v>
      </c>
      <c r="C18" s="5" t="n">
        <f aca="false">AVERAGE('All 60 Runs'!S4:S63)</f>
        <v>18.275</v>
      </c>
      <c r="D18" s="5" t="n">
        <f aca="false">MEDIAN('All 60 Runs'!S4:S63)</f>
        <v>0</v>
      </c>
      <c r="E18" s="5" t="n">
        <f aca="false">MIN('All 60 Runs'!S4:S63)</f>
        <v>0</v>
      </c>
      <c r="F18" s="5" t="n">
        <f aca="false">MAX('All 60 Runs'!S4:S63)</f>
        <v>127.7</v>
      </c>
      <c r="G18" s="5" t="n">
        <f aca="false">AVERAGEIFS('All 60 Runs'!S4:S63,'All 60 Runs'!B4:B63,"dev")</f>
        <v>22.2966666666667</v>
      </c>
      <c r="H18" s="5" t="n">
        <f aca="false">AVERAGEIFS('All 60 Runs'!S4:S63,'All 60 Runs'!B4:B63,"held-out")</f>
        <v>14.2533333333333</v>
      </c>
      <c r="I18" s="5" t="n">
        <f aca="false">COUNT('All 60 Runs'!S4:S63)</f>
        <v>60</v>
      </c>
    </row>
    <row r="19" customFormat="false" ht="15" hidden="false" customHeight="false" outlineLevel="0" collapsed="false">
      <c r="A19" s="4" t="s">
        <v>39</v>
      </c>
      <c r="B19" s="4" t="s">
        <v>40</v>
      </c>
      <c r="C19" s="5" t="n">
        <f aca="false">AVERAGE('All 60 Runs'!U4:U63)</f>
        <v>6.03916666666667</v>
      </c>
      <c r="D19" s="5" t="n">
        <f aca="false">MEDIAN('All 60 Runs'!U4:U63)</f>
        <v>6</v>
      </c>
      <c r="E19" s="5" t="n">
        <f aca="false">MAX('All 60 Runs'!U4:U63)</f>
        <v>8.03</v>
      </c>
      <c r="F19" s="5" t="n">
        <f aca="false">MIN('All 60 Runs'!U4:U63)</f>
        <v>6</v>
      </c>
      <c r="G19" s="5" t="n">
        <f aca="false">AVERAGEIFS('All 60 Runs'!U4:U63,'All 60 Runs'!B4:B63,"dev")</f>
        <v>6.06833333333333</v>
      </c>
      <c r="H19" s="5" t="n">
        <f aca="false">AVERAGEIFS('All 60 Runs'!U4:U63,'All 60 Runs'!B4:B63,"held-out")</f>
        <v>6.01</v>
      </c>
      <c r="I19" s="5" t="n">
        <f aca="false">COUNT('All 60 Runs'!U4:U63)</f>
        <v>60</v>
      </c>
    </row>
    <row r="20" customFormat="false" ht="15" hidden="false" customHeight="false" outlineLevel="0" collapsed="false">
      <c r="A20" s="4" t="s">
        <v>41</v>
      </c>
      <c r="B20" s="4" t="s">
        <v>42</v>
      </c>
      <c r="C20" s="5" t="n">
        <f aca="false">AVERAGE('All 60 Runs'!Y4:Y63)</f>
        <v>28.9083333333333</v>
      </c>
      <c r="D20" s="5" t="n">
        <f aca="false">MEDIAN('All 60 Runs'!Y4:Y63)</f>
        <v>26.7</v>
      </c>
      <c r="E20" s="5" t="n">
        <f aca="false">MAX('All 60 Runs'!Y4:Y63)</f>
        <v>63.6</v>
      </c>
      <c r="F20" s="5" t="n">
        <f aca="false">MIN('All 60 Runs'!Y4:Y63)</f>
        <v>20.1</v>
      </c>
      <c r="G20" s="5" t="n">
        <f aca="false">AVERAGEIFS('All 60 Runs'!Y4:Y63,'All 60 Runs'!B4:B63,"dev")</f>
        <v>30.08</v>
      </c>
      <c r="H20" s="5" t="n">
        <f aca="false">AVERAGEIFS('All 60 Runs'!Y4:Y63,'All 60 Runs'!B4:B63,"held-out")</f>
        <v>27.7366666666667</v>
      </c>
      <c r="I20" s="5" t="n">
        <f aca="false">COUNT('All 60 Runs'!Y4:Y63)</f>
        <v>60</v>
      </c>
    </row>
    <row r="22" customFormat="false" ht="15" hidden="false" customHeight="false" outlineLevel="0" collapsed="false">
      <c r="A22" s="8" t="s">
        <v>43</v>
      </c>
    </row>
    <row r="23" customFormat="false" ht="42" hidden="false" customHeight="true" outlineLevel="0" collapsed="false">
      <c r="A23" s="3" t="s">
        <v>44</v>
      </c>
      <c r="B23" s="3" t="s">
        <v>3</v>
      </c>
      <c r="C23" s="3" t="s">
        <v>45</v>
      </c>
      <c r="D23" s="3" t="s">
        <v>46</v>
      </c>
      <c r="E23" s="3" t="s">
        <v>47</v>
      </c>
      <c r="F23" s="3"/>
      <c r="G23" s="3"/>
      <c r="H23" s="3"/>
      <c r="I23" s="3"/>
    </row>
    <row r="24" customFormat="false" ht="15" hidden="false" customHeight="false" outlineLevel="0" collapsed="false">
      <c r="A24" s="4" t="s">
        <v>48</v>
      </c>
      <c r="B24" s="4" t="s">
        <v>49</v>
      </c>
      <c r="C24" s="4" t="n">
        <f aca="false">COUNTIF('All 60 Runs'!Z4:Z63,"PASS")</f>
        <v>60</v>
      </c>
      <c r="D24" s="4" t="n">
        <f aca="false">COUNTIFS('All 60 Runs'!Z4:Z63,"PASS",'All 60 Runs'!B4:B63,"dev")</f>
        <v>30</v>
      </c>
      <c r="E24" s="4" t="n">
        <f aca="false">COUNTIFS('All 60 Runs'!Z4:Z63,"PASS",'All 60 Runs'!B4:B63,"held-out")</f>
        <v>30</v>
      </c>
    </row>
    <row r="25" customFormat="false" ht="15" hidden="false" customHeight="false" outlineLevel="0" collapsed="false">
      <c r="A25" s="4" t="s">
        <v>50</v>
      </c>
      <c r="B25" s="4" t="s">
        <v>51</v>
      </c>
      <c r="C25" s="4" t="n">
        <f aca="false">COUNTIF('All 60 Runs'!AA4:AA63,"PASS")</f>
        <v>60</v>
      </c>
      <c r="D25" s="4" t="n">
        <f aca="false">COUNTIFS('All 60 Runs'!AA4:AA63,"PASS",'All 60 Runs'!B4:B63,"dev")</f>
        <v>30</v>
      </c>
      <c r="E25" s="4" t="n">
        <f aca="false">COUNTIFS('All 60 Runs'!AA4:AA63,"PASS",'All 60 Runs'!B4:B63,"held-out")</f>
        <v>30</v>
      </c>
    </row>
    <row r="26" customFormat="false" ht="15" hidden="false" customHeight="false" outlineLevel="0" collapsed="false">
      <c r="A26" s="4" t="s">
        <v>52</v>
      </c>
      <c r="B26" s="4" t="s">
        <v>53</v>
      </c>
      <c r="C26" s="4" t="n">
        <f aca="false">COUNTIF('All 60 Runs'!AB4:AB63,"PASS")</f>
        <v>60</v>
      </c>
      <c r="D26" s="4" t="n">
        <f aca="false">COUNTIFS('All 60 Runs'!AB4:AB63,"PASS",'All 60 Runs'!B4:B63,"dev")</f>
        <v>30</v>
      </c>
      <c r="E26" s="4" t="n">
        <f aca="false">COUNTIFS('All 60 Runs'!AB4:AB63,"PASS",'All 60 Runs'!B4:B63,"held-out")</f>
        <v>30</v>
      </c>
    </row>
    <row r="27" customFormat="false" ht="15" hidden="false" customHeight="false" outlineLevel="0" collapsed="false">
      <c r="A27" s="4" t="s">
        <v>54</v>
      </c>
      <c r="B27" s="4" t="s">
        <v>55</v>
      </c>
      <c r="C27" s="4" t="n">
        <f aca="false">COUNTIF('All 60 Runs'!AC4:AC63,"PASS")</f>
        <v>60</v>
      </c>
      <c r="D27" s="4" t="n">
        <f aca="false">COUNTIFS('All 60 Runs'!AC4:AC63,"PASS",'All 60 Runs'!B4:B63,"dev")</f>
        <v>30</v>
      </c>
      <c r="E27" s="4" t="n">
        <f aca="false">COUNTIFS('All 60 Runs'!AC4:AC63,"PASS",'All 60 Runs'!B4:B63,"held-out")</f>
        <v>30</v>
      </c>
    </row>
    <row r="28" customFormat="false" ht="15" hidden="false" customHeight="false" outlineLevel="0" collapsed="false">
      <c r="A28" s="4" t="s">
        <v>56</v>
      </c>
      <c r="B28" s="4" t="s">
        <v>57</v>
      </c>
      <c r="C28" s="4" t="n">
        <f aca="false">COUNTIF('All 60 Runs'!AD4:AD63,"PASS")</f>
        <v>60</v>
      </c>
      <c r="D28" s="4" t="n">
        <f aca="false">COUNTIFS('All 60 Runs'!AD4:AD63,"PASS",'All 60 Runs'!B4:B63,"dev")</f>
        <v>30</v>
      </c>
      <c r="E28" s="4" t="n">
        <f aca="false">COUNTIFS('All 60 Runs'!AD4:AD63,"PASS",'All 60 Runs'!B4:B63,"held-out")</f>
        <v>30</v>
      </c>
    </row>
    <row r="29" customFormat="false" ht="15" hidden="false" customHeight="false" outlineLevel="0" collapsed="false">
      <c r="A29" s="4" t="s">
        <v>58</v>
      </c>
      <c r="B29" s="4" t="s">
        <v>59</v>
      </c>
      <c r="C29" s="4" t="n">
        <f aca="false">COUNTIF('All 60 Runs'!AE4:AE63,"PASS")</f>
        <v>60</v>
      </c>
      <c r="D29" s="4" t="n">
        <f aca="false">COUNTIFS('All 60 Runs'!AE4:AE63,"PASS",'All 60 Runs'!B4:B63,"dev")</f>
        <v>30</v>
      </c>
      <c r="E29" s="4" t="n">
        <f aca="false">COUNTIFS('All 60 Runs'!AE4:AE63,"PASS",'All 60 Runs'!B4:B63,"held-out")</f>
        <v>30</v>
      </c>
    </row>
    <row r="30" customFormat="false" ht="15" hidden="false" customHeight="false" outlineLevel="0" collapsed="false">
      <c r="A30" s="9" t="s">
        <v>60</v>
      </c>
      <c r="B30" s="9" t="s">
        <v>61</v>
      </c>
      <c r="C30" s="9" t="n">
        <f aca="false">COUNTIF('All 60 Runs'!AF4:AF63,"PASS")</f>
        <v>60</v>
      </c>
      <c r="D30" s="9" t="n">
        <f aca="false">COUNTIFS('All 60 Runs'!AF4:AF63,"PASS",'All 60 Runs'!B4:B63,"dev")</f>
        <v>30</v>
      </c>
      <c r="E30" s="9" t="n">
        <f aca="false">COUNTIFS('All 60 Runs'!AF4:AF63,"PASS",'All 60 Runs'!B4:B63,"held-out")</f>
        <v>30</v>
      </c>
    </row>
    <row r="32" customFormat="false" ht="15" hidden="false" customHeight="false" outlineLevel="0" collapsed="false">
      <c r="A32" s="10" t="s">
        <v>62</v>
      </c>
      <c r="B32" s="10" t="s">
        <v>63</v>
      </c>
      <c r="C32" s="11" t="n">
        <f aca="false">SUM('All 60 Runs'!V4:V63)</f>
        <v>0</v>
      </c>
    </row>
    <row r="33" customFormat="false" ht="15" hidden="false" customHeight="false" outlineLevel="0" collapsed="false">
      <c r="A33" s="10" t="s">
        <v>64</v>
      </c>
      <c r="B33" s="10" t="s">
        <v>65</v>
      </c>
      <c r="C33" s="11" t="n">
        <f aca="false">SUM('All 60 Runs'!W4:W63)</f>
        <v>0</v>
      </c>
    </row>
    <row r="34" customFormat="false" ht="15" hidden="false" customHeight="false" outlineLevel="0" collapsed="false">
      <c r="A34" s="10" t="s">
        <v>66</v>
      </c>
      <c r="B34" s="10" t="s">
        <v>67</v>
      </c>
      <c r="C34" s="11" t="n">
        <f aca="false">SUM('All 60 Runs'!X4:X63)</f>
        <v>0</v>
      </c>
    </row>
    <row r="35" customFormat="false" ht="15" hidden="false" customHeight="false" outlineLevel="0" collapsed="false">
      <c r="A35" s="10" t="s">
        <v>68</v>
      </c>
      <c r="B35" s="10" t="s">
        <v>69</v>
      </c>
      <c r="C35" s="11" t="n">
        <f aca="false">SUM('All 60 Runs'!T4:T63)</f>
        <v>28</v>
      </c>
    </row>
    <row r="37" customFormat="false" ht="15" hidden="false" customHeight="false" outlineLevel="0" collapsed="false">
      <c r="A37" s="1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3" t="s">
        <v>71</v>
      </c>
    </row>
    <row r="3" customFormat="false" ht="42" hidden="false" customHeight="true" outlineLevel="0" collapsed="false">
      <c r="A3" s="3" t="s">
        <v>72</v>
      </c>
      <c r="B3" s="3" t="s">
        <v>73</v>
      </c>
      <c r="C3" s="3" t="s">
        <v>74</v>
      </c>
      <c r="D3" s="3" t="s">
        <v>75</v>
      </c>
    </row>
    <row r="4" customFormat="false" ht="15" hidden="false" customHeight="false" outlineLevel="0" collapsed="false">
      <c r="A4" s="14" t="s">
        <v>76</v>
      </c>
      <c r="B4" s="15" t="n">
        <v>900</v>
      </c>
      <c r="C4" s="14" t="s">
        <v>77</v>
      </c>
      <c r="D4" s="14" t="s">
        <v>78</v>
      </c>
    </row>
    <row r="5" customFormat="false" ht="15" hidden="false" customHeight="false" outlineLevel="0" collapsed="false">
      <c r="A5" s="14" t="s">
        <v>79</v>
      </c>
      <c r="B5" s="15" t="n">
        <v>1200</v>
      </c>
      <c r="C5" s="14" t="s">
        <v>77</v>
      </c>
      <c r="D5" s="14" t="s">
        <v>80</v>
      </c>
    </row>
    <row r="6" customFormat="false" ht="15" hidden="false" customHeight="false" outlineLevel="0" collapsed="false">
      <c r="A6" s="14" t="s">
        <v>81</v>
      </c>
      <c r="B6" s="15" t="n">
        <v>240</v>
      </c>
      <c r="C6" s="14" t="s">
        <v>77</v>
      </c>
      <c r="D6" s="14" t="s">
        <v>82</v>
      </c>
    </row>
    <row r="7" customFormat="false" ht="15" hidden="false" customHeight="false" outlineLevel="0" collapsed="false">
      <c r="A7" s="14" t="s">
        <v>83</v>
      </c>
      <c r="B7" s="15" t="n">
        <v>0.75</v>
      </c>
      <c r="C7" s="14" t="s">
        <v>84</v>
      </c>
      <c r="D7" s="14" t="s">
        <v>85</v>
      </c>
    </row>
    <row r="8" customFormat="false" ht="15" hidden="false" customHeight="false" outlineLevel="0" collapsed="false">
      <c r="A8" s="14" t="s">
        <v>86</v>
      </c>
      <c r="B8" s="15" t="n">
        <v>5</v>
      </c>
      <c r="C8" s="14" t="s">
        <v>87</v>
      </c>
      <c r="D8" s="14" t="s">
        <v>88</v>
      </c>
    </row>
    <row r="9" customFormat="false" ht="15" hidden="false" customHeight="false" outlineLevel="0" collapsed="false">
      <c r="A9" s="14" t="s">
        <v>89</v>
      </c>
      <c r="B9" s="15" t="n">
        <v>1.5</v>
      </c>
      <c r="C9" s="14" t="s">
        <v>87</v>
      </c>
      <c r="D9" s="14" t="s">
        <v>90</v>
      </c>
    </row>
    <row r="10" customFormat="false" ht="15" hidden="false" customHeight="false" outlineLevel="0" collapsed="false">
      <c r="A10" s="14" t="s">
        <v>91</v>
      </c>
      <c r="B10" s="15" t="n">
        <v>15</v>
      </c>
      <c r="C10" s="14" t="s">
        <v>92</v>
      </c>
      <c r="D10" s="14" t="s">
        <v>93</v>
      </c>
    </row>
    <row r="12" customFormat="false" ht="15" hidden="false" customHeight="false" outlineLevel="0" collapsed="false">
      <c r="A12" s="1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7" min="6" style="0" width="10"/>
    <col collapsed="false" customWidth="true" hidden="false" outlineLevel="0" max="8" min="8" style="0" width="11"/>
    <col collapsed="false" customWidth="true" hidden="false" outlineLevel="0" max="13" min="9" style="0" width="10"/>
    <col collapsed="false" customWidth="true" hidden="false" outlineLevel="0" max="14" min="14" style="0" width="11"/>
    <col collapsed="false" customWidth="true" hidden="false" outlineLevel="0" max="16" min="15" style="0" width="10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0"/>
    <col collapsed="false" customWidth="true" hidden="false" outlineLevel="0" max="24" min="22" style="0" width="8"/>
    <col collapsed="false" customWidth="true" hidden="false" outlineLevel="0" max="30" min="25" style="0" width="10"/>
    <col collapsed="false" customWidth="true" hidden="false" outlineLevel="0" max="31" min="31" style="0" width="11"/>
    <col collapsed="false" customWidth="true" hidden="false" outlineLevel="0" max="33" min="32" style="0" width="10"/>
  </cols>
  <sheetData>
    <row r="1" customFormat="false" ht="15" hidden="false" customHeight="false" outlineLevel="0" collapsed="false">
      <c r="A1" s="13" t="s">
        <v>95</v>
      </c>
    </row>
    <row r="2" customFormat="false" ht="15" hidden="false" customHeight="false" outlineLevel="0" collapsed="false">
      <c r="Z2" s="16" t="s">
        <v>96</v>
      </c>
    </row>
    <row r="3" customFormat="false" ht="42" hidden="false" customHeight="true" outlineLevel="0" collapsed="false">
      <c r="A3" s="3" t="s">
        <v>97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11</v>
      </c>
      <c r="G3" s="3" t="s">
        <v>13</v>
      </c>
      <c r="H3" s="3" t="s">
        <v>15</v>
      </c>
      <c r="I3" s="3" t="s">
        <v>17</v>
      </c>
      <c r="J3" s="3" t="s">
        <v>19</v>
      </c>
      <c r="K3" s="3" t="s">
        <v>102</v>
      </c>
      <c r="L3" s="3" t="s">
        <v>103</v>
      </c>
      <c r="M3" s="3" t="s">
        <v>104</v>
      </c>
      <c r="N3" s="3" t="s">
        <v>27</v>
      </c>
      <c r="O3" s="3" t="s">
        <v>29</v>
      </c>
      <c r="P3" s="3" t="s">
        <v>31</v>
      </c>
      <c r="Q3" s="3" t="s">
        <v>33</v>
      </c>
      <c r="R3" s="3" t="s">
        <v>35</v>
      </c>
      <c r="S3" s="3" t="s">
        <v>37</v>
      </c>
      <c r="T3" s="3" t="s">
        <v>105</v>
      </c>
      <c r="U3" s="3" t="s">
        <v>39</v>
      </c>
      <c r="V3" s="3" t="s">
        <v>106</v>
      </c>
      <c r="W3" s="3" t="s">
        <v>107</v>
      </c>
      <c r="X3" s="3" t="s">
        <v>108</v>
      </c>
      <c r="Y3" s="3" t="s">
        <v>41</v>
      </c>
      <c r="Z3" s="3" t="s">
        <v>109</v>
      </c>
      <c r="AA3" s="3" t="s">
        <v>110</v>
      </c>
      <c r="AB3" s="3" t="s">
        <v>111</v>
      </c>
      <c r="AC3" s="3" t="s">
        <v>112</v>
      </c>
      <c r="AD3" s="3" t="s">
        <v>113</v>
      </c>
      <c r="AE3" s="3" t="s">
        <v>114</v>
      </c>
      <c r="AF3" s="3" t="s">
        <v>115</v>
      </c>
      <c r="AG3" s="3" t="s">
        <v>116</v>
      </c>
    </row>
    <row r="4" customFormat="false" ht="15" hidden="false" customHeight="false" outlineLevel="0" collapsed="false">
      <c r="A4" s="17" t="n">
        <v>1</v>
      </c>
      <c r="B4" s="17" t="s">
        <v>117</v>
      </c>
      <c r="C4" s="17" t="s">
        <v>118</v>
      </c>
      <c r="D4" s="17" t="s">
        <v>119</v>
      </c>
      <c r="E4" s="17" t="n">
        <v>1</v>
      </c>
      <c r="F4" s="17" t="n">
        <v>452.8</v>
      </c>
      <c r="G4" s="17" t="n">
        <v>581.3</v>
      </c>
      <c r="H4" s="17" t="n">
        <v>42.6</v>
      </c>
      <c r="I4" s="18" t="n">
        <v>0.875</v>
      </c>
      <c r="J4" s="19" t="n">
        <v>92.6</v>
      </c>
      <c r="K4" s="19" t="n">
        <v>16.8</v>
      </c>
      <c r="L4" s="19" t="n">
        <v>54.3</v>
      </c>
      <c r="M4" s="19" t="n">
        <v>28.9</v>
      </c>
      <c r="N4" s="19" t="n">
        <v>157.6</v>
      </c>
      <c r="O4" s="19" t="n">
        <v>94.1</v>
      </c>
      <c r="P4" s="20" t="n">
        <v>0.646</v>
      </c>
      <c r="Q4" s="17" t="n">
        <v>0</v>
      </c>
      <c r="R4" s="21"/>
      <c r="S4" s="19" t="n">
        <v>0</v>
      </c>
      <c r="T4" s="17" t="n">
        <v>0</v>
      </c>
      <c r="U4" s="21" t="n">
        <v>6</v>
      </c>
      <c r="V4" s="17" t="n">
        <v>0</v>
      </c>
      <c r="W4" s="17" t="n">
        <v>0</v>
      </c>
      <c r="X4" s="17" t="n">
        <v>0</v>
      </c>
      <c r="Y4" s="19" t="n">
        <v>20.8</v>
      </c>
      <c r="Z4" s="17" t="str">
        <f aca="false">IF(F4&lt;=Constraints!$B$4,"PASS","FAIL")</f>
        <v>PASS</v>
      </c>
      <c r="AA4" s="17" t="str">
        <f aca="false">IF(H4="","PASS",IF(H4&lt;=Constraints!$B$6,"PASS","FAIL"))</f>
        <v>PASS</v>
      </c>
      <c r="AB4" s="17" t="str">
        <f aca="false">IF(I4&gt;=Constraints!$B$7,"PASS","FAIL")</f>
        <v>PASS</v>
      </c>
      <c r="AC4" s="17" t="str">
        <f aca="false">IF(AND(U4&gt;=Constraints!$B$8,V4=0),"PASS","FAIL")</f>
        <v>PASS</v>
      </c>
      <c r="AD4" s="17" t="str">
        <f aca="false">IF(Y4&gt;=Constraints!$B$10-0.000001,"PASS","FAIL")</f>
        <v>PASS</v>
      </c>
      <c r="AE4" s="17" t="str">
        <f aca="false">IF(AND(W4=0,X4=0,G4&lt;=Constraints!$B$5),"PASS","FAIL")</f>
        <v>PASS</v>
      </c>
      <c r="AF4" s="22" t="str">
        <f aca="false">IF(COUNTIF(Z4:AE4,"FAIL")=0,"PASS","FAIL")</f>
        <v>PASS</v>
      </c>
      <c r="AG4" s="23" t="s">
        <v>120</v>
      </c>
    </row>
    <row r="5" customFormat="false" ht="15" hidden="false" customHeight="false" outlineLevel="0" collapsed="false">
      <c r="A5" s="17" t="n">
        <v>2</v>
      </c>
      <c r="B5" s="17" t="s">
        <v>117</v>
      </c>
      <c r="C5" s="17" t="s">
        <v>121</v>
      </c>
      <c r="D5" s="17" t="s">
        <v>122</v>
      </c>
      <c r="E5" s="17" t="n">
        <v>2</v>
      </c>
      <c r="F5" s="17" t="n">
        <v>675.6</v>
      </c>
      <c r="G5" s="17" t="n">
        <v>779.8</v>
      </c>
      <c r="H5" s="17" t="n">
        <v>68.2</v>
      </c>
      <c r="I5" s="18" t="n">
        <v>1</v>
      </c>
      <c r="J5" s="19" t="n">
        <v>92.3</v>
      </c>
      <c r="K5" s="19" t="n">
        <v>21.2</v>
      </c>
      <c r="L5" s="19" t="n">
        <v>60.6</v>
      </c>
      <c r="M5" s="19" t="n">
        <v>18.2</v>
      </c>
      <c r="N5" s="19" t="n">
        <v>218.9</v>
      </c>
      <c r="O5" s="19" t="n">
        <v>93.1</v>
      </c>
      <c r="P5" s="20" t="n">
        <v>0.602</v>
      </c>
      <c r="Q5" s="17" t="n">
        <v>4</v>
      </c>
      <c r="R5" s="21" t="n">
        <v>27.2</v>
      </c>
      <c r="S5" s="19" t="n">
        <v>88.3</v>
      </c>
      <c r="T5" s="17" t="n">
        <v>1</v>
      </c>
      <c r="U5" s="21" t="n">
        <v>6</v>
      </c>
      <c r="V5" s="17" t="n">
        <v>0</v>
      </c>
      <c r="W5" s="17" t="n">
        <v>0</v>
      </c>
      <c r="X5" s="17" t="n">
        <v>0</v>
      </c>
      <c r="Y5" s="19" t="n">
        <v>25.3</v>
      </c>
      <c r="Z5" s="17" t="str">
        <f aca="false">IF(F5&lt;=Constraints!$B$4,"PASS","FAIL")</f>
        <v>PASS</v>
      </c>
      <c r="AA5" s="17" t="str">
        <f aca="false">IF(H5="","PASS",IF(H5&lt;=Constraints!$B$6,"PASS","FAIL"))</f>
        <v>PASS</v>
      </c>
      <c r="AB5" s="17" t="str">
        <f aca="false">IF(I5&gt;=Constraints!$B$7,"PASS","FAIL")</f>
        <v>PASS</v>
      </c>
      <c r="AC5" s="17" t="str">
        <f aca="false">IF(AND(U5&gt;=Constraints!$B$8,V5=0),"PASS","FAIL")</f>
        <v>PASS</v>
      </c>
      <c r="AD5" s="17" t="str">
        <f aca="false">IF(Y5&gt;=Constraints!$B$10-0.000001,"PASS","FAIL")</f>
        <v>PASS</v>
      </c>
      <c r="AE5" s="17" t="str">
        <f aca="false">IF(AND(W5=0,X5=0,G5&lt;=Constraints!$B$5),"PASS","FAIL")</f>
        <v>PASS</v>
      </c>
      <c r="AF5" s="22" t="str">
        <f aca="false">IF(COUNTIF(Z5:AE5,"FAIL")=0,"PASS","FAIL")</f>
        <v>PASS</v>
      </c>
      <c r="AG5" s="23" t="s">
        <v>120</v>
      </c>
    </row>
    <row r="6" customFormat="false" ht="15" hidden="false" customHeight="false" outlineLevel="0" collapsed="false">
      <c r="A6" s="17" t="n">
        <v>3</v>
      </c>
      <c r="B6" s="17" t="s">
        <v>117</v>
      </c>
      <c r="C6" s="17" t="s">
        <v>123</v>
      </c>
      <c r="D6" s="17" t="s">
        <v>119</v>
      </c>
      <c r="E6" s="17" t="n">
        <v>3</v>
      </c>
      <c r="F6" s="17" t="n">
        <v>351.2</v>
      </c>
      <c r="G6" s="17" t="n">
        <v>481.7</v>
      </c>
      <c r="H6" s="17" t="n">
        <v>43.8</v>
      </c>
      <c r="I6" s="18" t="n">
        <v>0.875</v>
      </c>
      <c r="J6" s="19" t="n">
        <v>94.3</v>
      </c>
      <c r="K6" s="19" t="n">
        <v>13.5</v>
      </c>
      <c r="L6" s="19" t="n">
        <v>50.6</v>
      </c>
      <c r="M6" s="19" t="n">
        <v>35.9</v>
      </c>
      <c r="N6" s="19" t="n">
        <v>106.7</v>
      </c>
      <c r="O6" s="19" t="n">
        <v>95.4</v>
      </c>
      <c r="P6" s="20" t="n">
        <v>0.649</v>
      </c>
      <c r="Q6" s="17" t="n">
        <v>0</v>
      </c>
      <c r="R6" s="21"/>
      <c r="S6" s="19" t="n">
        <v>0</v>
      </c>
      <c r="T6" s="17" t="n">
        <v>0</v>
      </c>
      <c r="U6" s="21" t="n">
        <v>6</v>
      </c>
      <c r="V6" s="17" t="n">
        <v>0</v>
      </c>
      <c r="W6" s="17" t="n">
        <v>0</v>
      </c>
      <c r="X6" s="17" t="n">
        <v>0</v>
      </c>
      <c r="Y6" s="19" t="n">
        <v>33</v>
      </c>
      <c r="Z6" s="17" t="str">
        <f aca="false">IF(F6&lt;=Constraints!$B$4,"PASS","FAIL")</f>
        <v>PASS</v>
      </c>
      <c r="AA6" s="17" t="str">
        <f aca="false">IF(H6="","PASS",IF(H6&lt;=Constraints!$B$6,"PASS","FAIL"))</f>
        <v>PASS</v>
      </c>
      <c r="AB6" s="17" t="str">
        <f aca="false">IF(I6&gt;=Constraints!$B$7,"PASS","FAIL")</f>
        <v>PASS</v>
      </c>
      <c r="AC6" s="17" t="str">
        <f aca="false">IF(AND(U6&gt;=Constraints!$B$8,V6=0),"PASS","FAIL")</f>
        <v>PASS</v>
      </c>
      <c r="AD6" s="17" t="str">
        <f aca="false">IF(Y6&gt;=Constraints!$B$10-0.000001,"PASS","FAIL")</f>
        <v>PASS</v>
      </c>
      <c r="AE6" s="17" t="str">
        <f aca="false">IF(AND(W6=0,X6=0,G6&lt;=Constraints!$B$5),"PASS","FAIL")</f>
        <v>PASS</v>
      </c>
      <c r="AF6" s="22" t="str">
        <f aca="false">IF(COUNTIF(Z6:AE6,"FAIL")=0,"PASS","FAIL")</f>
        <v>PASS</v>
      </c>
      <c r="AG6" s="23" t="s">
        <v>120</v>
      </c>
    </row>
    <row r="7" customFormat="false" ht="15" hidden="false" customHeight="false" outlineLevel="0" collapsed="false">
      <c r="A7" s="17" t="n">
        <v>4</v>
      </c>
      <c r="B7" s="17" t="s">
        <v>117</v>
      </c>
      <c r="C7" s="17" t="s">
        <v>124</v>
      </c>
      <c r="D7" s="17" t="s">
        <v>122</v>
      </c>
      <c r="E7" s="17" t="n">
        <v>1</v>
      </c>
      <c r="F7" s="17" t="n">
        <v>532.9</v>
      </c>
      <c r="G7" s="17" t="n">
        <v>633.7</v>
      </c>
      <c r="H7" s="17" t="n">
        <v>108.1</v>
      </c>
      <c r="I7" s="18" t="n">
        <v>1</v>
      </c>
      <c r="J7" s="19" t="n">
        <v>94.4</v>
      </c>
      <c r="K7" s="19" t="n">
        <v>19.4</v>
      </c>
      <c r="L7" s="19" t="n">
        <v>50.7</v>
      </c>
      <c r="M7" s="19" t="n">
        <v>29.9</v>
      </c>
      <c r="N7" s="19" t="n">
        <v>112.3</v>
      </c>
      <c r="O7" s="19" t="n">
        <v>95</v>
      </c>
      <c r="P7" s="20" t="n">
        <v>0.596</v>
      </c>
      <c r="Q7" s="17" t="n">
        <v>0</v>
      </c>
      <c r="R7" s="21"/>
      <c r="S7" s="19" t="n">
        <v>0</v>
      </c>
      <c r="T7" s="17" t="n">
        <v>1</v>
      </c>
      <c r="U7" s="21" t="n">
        <v>6</v>
      </c>
      <c r="V7" s="17" t="n">
        <v>0</v>
      </c>
      <c r="W7" s="17" t="n">
        <v>0</v>
      </c>
      <c r="X7" s="17" t="n">
        <v>0</v>
      </c>
      <c r="Y7" s="19" t="n">
        <v>25.5</v>
      </c>
      <c r="Z7" s="17" t="str">
        <f aca="false">IF(F7&lt;=Constraints!$B$4,"PASS","FAIL")</f>
        <v>PASS</v>
      </c>
      <c r="AA7" s="17" t="str">
        <f aca="false">IF(H7="","PASS",IF(H7&lt;=Constraints!$B$6,"PASS","FAIL"))</f>
        <v>PASS</v>
      </c>
      <c r="AB7" s="17" t="str">
        <f aca="false">IF(I7&gt;=Constraints!$B$7,"PASS","FAIL")</f>
        <v>PASS</v>
      </c>
      <c r="AC7" s="17" t="str">
        <f aca="false">IF(AND(U7&gt;=Constraints!$B$8,V7=0),"PASS","FAIL")</f>
        <v>PASS</v>
      </c>
      <c r="AD7" s="17" t="str">
        <f aca="false">IF(Y7&gt;=Constraints!$B$10-0.000001,"PASS","FAIL")</f>
        <v>PASS</v>
      </c>
      <c r="AE7" s="17" t="str">
        <f aca="false">IF(AND(W7=0,X7=0,G7&lt;=Constraints!$B$5),"PASS","FAIL")</f>
        <v>PASS</v>
      </c>
      <c r="AF7" s="22" t="str">
        <f aca="false">IF(COUNTIF(Z7:AE7,"FAIL")=0,"PASS","FAIL")</f>
        <v>PASS</v>
      </c>
      <c r="AG7" s="23" t="s">
        <v>120</v>
      </c>
    </row>
    <row r="8" customFormat="false" ht="15" hidden="false" customHeight="false" outlineLevel="0" collapsed="false">
      <c r="A8" s="17" t="n">
        <v>5</v>
      </c>
      <c r="B8" s="17" t="s">
        <v>117</v>
      </c>
      <c r="C8" s="17" t="s">
        <v>125</v>
      </c>
      <c r="D8" s="17" t="s">
        <v>122</v>
      </c>
      <c r="E8" s="17" t="n">
        <v>4</v>
      </c>
      <c r="F8" s="17" t="n">
        <v>502.1</v>
      </c>
      <c r="G8" s="17" t="n">
        <v>654</v>
      </c>
      <c r="H8" s="17" t="n">
        <v>47.8</v>
      </c>
      <c r="I8" s="18" t="n">
        <v>1</v>
      </c>
      <c r="J8" s="19" t="n">
        <v>96</v>
      </c>
      <c r="K8" s="19" t="n">
        <v>11.4</v>
      </c>
      <c r="L8" s="19" t="n">
        <v>66.2</v>
      </c>
      <c r="M8" s="19" t="n">
        <v>22.4</v>
      </c>
      <c r="N8" s="19" t="n">
        <v>95.9</v>
      </c>
      <c r="O8" s="19" t="n">
        <v>95.8</v>
      </c>
      <c r="P8" s="20" t="n">
        <v>0.634</v>
      </c>
      <c r="Q8" s="17" t="n">
        <v>4</v>
      </c>
      <c r="R8" s="21" t="n">
        <v>14.53</v>
      </c>
      <c r="S8" s="19" t="n">
        <v>37.9</v>
      </c>
      <c r="T8" s="17" t="n">
        <v>0</v>
      </c>
      <c r="U8" s="21" t="n">
        <v>6</v>
      </c>
      <c r="V8" s="17" t="n">
        <v>0</v>
      </c>
      <c r="W8" s="17" t="n">
        <v>0</v>
      </c>
      <c r="X8" s="17" t="n">
        <v>0</v>
      </c>
      <c r="Y8" s="19" t="n">
        <v>33.9</v>
      </c>
      <c r="Z8" s="17" t="str">
        <f aca="false">IF(F8&lt;=Constraints!$B$4,"PASS","FAIL")</f>
        <v>PASS</v>
      </c>
      <c r="AA8" s="17" t="str">
        <f aca="false">IF(H8="","PASS",IF(H8&lt;=Constraints!$B$6,"PASS","FAIL"))</f>
        <v>PASS</v>
      </c>
      <c r="AB8" s="17" t="str">
        <f aca="false">IF(I8&gt;=Constraints!$B$7,"PASS","FAIL")</f>
        <v>PASS</v>
      </c>
      <c r="AC8" s="17" t="str">
        <f aca="false">IF(AND(U8&gt;=Constraints!$B$8,V8=0),"PASS","FAIL")</f>
        <v>PASS</v>
      </c>
      <c r="AD8" s="17" t="str">
        <f aca="false">IF(Y8&gt;=Constraints!$B$10-0.000001,"PASS","FAIL")</f>
        <v>PASS</v>
      </c>
      <c r="AE8" s="17" t="str">
        <f aca="false">IF(AND(W8=0,X8=0,G8&lt;=Constraints!$B$5),"PASS","FAIL")</f>
        <v>PASS</v>
      </c>
      <c r="AF8" s="22" t="str">
        <f aca="false">IF(COUNTIF(Z8:AE8,"FAIL")=0,"PASS","FAIL")</f>
        <v>PASS</v>
      </c>
      <c r="AG8" s="23" t="s">
        <v>120</v>
      </c>
    </row>
    <row r="9" customFormat="false" ht="15" hidden="false" customHeight="false" outlineLevel="0" collapsed="false">
      <c r="A9" s="17" t="n">
        <v>6</v>
      </c>
      <c r="B9" s="17" t="s">
        <v>117</v>
      </c>
      <c r="C9" s="17" t="s">
        <v>126</v>
      </c>
      <c r="D9" s="17" t="s">
        <v>119</v>
      </c>
      <c r="E9" s="17" t="n">
        <v>2</v>
      </c>
      <c r="F9" s="17" t="n">
        <v>566.5</v>
      </c>
      <c r="G9" s="17" t="n">
        <v>661.4</v>
      </c>
      <c r="H9" s="17" t="n">
        <v>92</v>
      </c>
      <c r="I9" s="18" t="n">
        <v>0.875</v>
      </c>
      <c r="J9" s="19" t="n">
        <v>92</v>
      </c>
      <c r="K9" s="19" t="n">
        <v>28.8</v>
      </c>
      <c r="L9" s="19" t="n">
        <v>50.5</v>
      </c>
      <c r="M9" s="19" t="n">
        <v>20.8</v>
      </c>
      <c r="N9" s="19" t="n">
        <v>172.9</v>
      </c>
      <c r="O9" s="19" t="n">
        <v>93.7</v>
      </c>
      <c r="P9" s="20" t="n">
        <v>0.642</v>
      </c>
      <c r="Q9" s="17" t="n">
        <v>0</v>
      </c>
      <c r="R9" s="21"/>
      <c r="S9" s="19" t="n">
        <v>0</v>
      </c>
      <c r="T9" s="17" t="n">
        <v>1</v>
      </c>
      <c r="U9" s="21" t="n">
        <v>6</v>
      </c>
      <c r="V9" s="17" t="n">
        <v>0</v>
      </c>
      <c r="W9" s="17" t="n">
        <v>0</v>
      </c>
      <c r="X9" s="17" t="n">
        <v>0</v>
      </c>
      <c r="Y9" s="19" t="n">
        <v>25.8</v>
      </c>
      <c r="Z9" s="17" t="str">
        <f aca="false">IF(F9&lt;=Constraints!$B$4,"PASS","FAIL")</f>
        <v>PASS</v>
      </c>
      <c r="AA9" s="17" t="str">
        <f aca="false">IF(H9="","PASS",IF(H9&lt;=Constraints!$B$6,"PASS","FAIL"))</f>
        <v>PASS</v>
      </c>
      <c r="AB9" s="17" t="str">
        <f aca="false">IF(I9&gt;=Constraints!$B$7,"PASS","FAIL")</f>
        <v>PASS</v>
      </c>
      <c r="AC9" s="17" t="str">
        <f aca="false">IF(AND(U9&gt;=Constraints!$B$8,V9=0),"PASS","FAIL")</f>
        <v>PASS</v>
      </c>
      <c r="AD9" s="17" t="str">
        <f aca="false">IF(Y9&gt;=Constraints!$B$10-0.000001,"PASS","FAIL")</f>
        <v>PASS</v>
      </c>
      <c r="AE9" s="17" t="str">
        <f aca="false">IF(AND(W9=0,X9=0,G9&lt;=Constraints!$B$5),"PASS","FAIL")</f>
        <v>PASS</v>
      </c>
      <c r="AF9" s="22" t="str">
        <f aca="false">IF(COUNTIF(Z9:AE9,"FAIL")=0,"PASS","FAIL")</f>
        <v>PASS</v>
      </c>
      <c r="AG9" s="23" t="s">
        <v>120</v>
      </c>
    </row>
    <row r="10" customFormat="false" ht="15" hidden="false" customHeight="false" outlineLevel="0" collapsed="false">
      <c r="A10" s="17" t="n">
        <v>7</v>
      </c>
      <c r="B10" s="17" t="s">
        <v>117</v>
      </c>
      <c r="C10" s="17" t="s">
        <v>127</v>
      </c>
      <c r="D10" s="17" t="s">
        <v>122</v>
      </c>
      <c r="E10" s="17" t="n">
        <v>5</v>
      </c>
      <c r="F10" s="17" t="n">
        <v>476.4</v>
      </c>
      <c r="G10" s="17" t="n">
        <v>605.2</v>
      </c>
      <c r="H10" s="17" t="n">
        <v>93.1</v>
      </c>
      <c r="I10" s="18" t="n">
        <v>1</v>
      </c>
      <c r="J10" s="19" t="n">
        <v>94.3</v>
      </c>
      <c r="K10" s="19" t="n">
        <v>20.4</v>
      </c>
      <c r="L10" s="19" t="n">
        <v>56.9</v>
      </c>
      <c r="M10" s="19" t="n">
        <v>22.7</v>
      </c>
      <c r="N10" s="19" t="n">
        <v>147.6</v>
      </c>
      <c r="O10" s="19" t="n">
        <v>93.3</v>
      </c>
      <c r="P10" s="20" t="n">
        <v>0.644</v>
      </c>
      <c r="Q10" s="17" t="n">
        <v>3</v>
      </c>
      <c r="R10" s="21" t="n">
        <v>13.12</v>
      </c>
      <c r="S10" s="19" t="n">
        <v>24.2</v>
      </c>
      <c r="T10" s="17" t="n">
        <v>0</v>
      </c>
      <c r="U10" s="21" t="n">
        <v>6.01</v>
      </c>
      <c r="V10" s="17" t="n">
        <v>0</v>
      </c>
      <c r="W10" s="17" t="n">
        <v>0</v>
      </c>
      <c r="X10" s="17" t="n">
        <v>0</v>
      </c>
      <c r="Y10" s="19" t="n">
        <v>32.7</v>
      </c>
      <c r="Z10" s="17" t="str">
        <f aca="false">IF(F10&lt;=Constraints!$B$4,"PASS","FAIL")</f>
        <v>PASS</v>
      </c>
      <c r="AA10" s="17" t="str">
        <f aca="false">IF(H10="","PASS",IF(H10&lt;=Constraints!$B$6,"PASS","FAIL"))</f>
        <v>PASS</v>
      </c>
      <c r="AB10" s="17" t="str">
        <f aca="false">IF(I10&gt;=Constraints!$B$7,"PASS","FAIL")</f>
        <v>PASS</v>
      </c>
      <c r="AC10" s="17" t="str">
        <f aca="false">IF(AND(U10&gt;=Constraints!$B$8,V10=0),"PASS","FAIL")</f>
        <v>PASS</v>
      </c>
      <c r="AD10" s="17" t="str">
        <f aca="false">IF(Y10&gt;=Constraints!$B$10-0.000001,"PASS","FAIL")</f>
        <v>PASS</v>
      </c>
      <c r="AE10" s="17" t="str">
        <f aca="false">IF(AND(W10=0,X10=0,G10&lt;=Constraints!$B$5),"PASS","FAIL")</f>
        <v>PASS</v>
      </c>
      <c r="AF10" s="22" t="str">
        <f aca="false">IF(COUNTIF(Z10:AE10,"FAIL")=0,"PASS","FAIL")</f>
        <v>PASS</v>
      </c>
      <c r="AG10" s="23" t="s">
        <v>120</v>
      </c>
    </row>
    <row r="11" customFormat="false" ht="15" hidden="false" customHeight="false" outlineLevel="0" collapsed="false">
      <c r="A11" s="17" t="n">
        <v>8</v>
      </c>
      <c r="B11" s="17" t="s">
        <v>117</v>
      </c>
      <c r="C11" s="17" t="s">
        <v>128</v>
      </c>
      <c r="D11" s="17" t="s">
        <v>122</v>
      </c>
      <c r="E11" s="17" t="n">
        <v>3</v>
      </c>
      <c r="F11" s="17" t="n">
        <v>514.1</v>
      </c>
      <c r="G11" s="17" t="n">
        <v>660.4</v>
      </c>
      <c r="H11" s="17" t="n">
        <v>24</v>
      </c>
      <c r="I11" s="18" t="n">
        <v>0.875</v>
      </c>
      <c r="J11" s="19" t="n">
        <v>92.1</v>
      </c>
      <c r="K11" s="19" t="n">
        <v>18.4</v>
      </c>
      <c r="L11" s="19" t="n">
        <v>59.9</v>
      </c>
      <c r="M11" s="19" t="n">
        <v>21.7</v>
      </c>
      <c r="N11" s="19" t="n">
        <v>203.5</v>
      </c>
      <c r="O11" s="19" t="n">
        <v>92</v>
      </c>
      <c r="P11" s="20" t="n">
        <v>0.632</v>
      </c>
      <c r="Q11" s="17" t="n">
        <v>2</v>
      </c>
      <c r="R11" s="21" t="n">
        <v>27.65</v>
      </c>
      <c r="S11" s="19" t="n">
        <v>45.1</v>
      </c>
      <c r="T11" s="17" t="n">
        <v>0</v>
      </c>
      <c r="U11" s="21" t="n">
        <v>6</v>
      </c>
      <c r="V11" s="17" t="n">
        <v>0</v>
      </c>
      <c r="W11" s="17" t="n">
        <v>0</v>
      </c>
      <c r="X11" s="17" t="n">
        <v>0</v>
      </c>
      <c r="Y11" s="19" t="n">
        <v>32.4</v>
      </c>
      <c r="Z11" s="17" t="str">
        <f aca="false">IF(F11&lt;=Constraints!$B$4,"PASS","FAIL")</f>
        <v>PASS</v>
      </c>
      <c r="AA11" s="17" t="str">
        <f aca="false">IF(H11="","PASS",IF(H11&lt;=Constraints!$B$6,"PASS","FAIL"))</f>
        <v>PASS</v>
      </c>
      <c r="AB11" s="17" t="str">
        <f aca="false">IF(I11&gt;=Constraints!$B$7,"PASS","FAIL")</f>
        <v>PASS</v>
      </c>
      <c r="AC11" s="17" t="str">
        <f aca="false">IF(AND(U11&gt;=Constraints!$B$8,V11=0),"PASS","FAIL")</f>
        <v>PASS</v>
      </c>
      <c r="AD11" s="17" t="str">
        <f aca="false">IF(Y11&gt;=Constraints!$B$10-0.000001,"PASS","FAIL")</f>
        <v>PASS</v>
      </c>
      <c r="AE11" s="17" t="str">
        <f aca="false">IF(AND(W11=0,X11=0,G11&lt;=Constraints!$B$5),"PASS","FAIL")</f>
        <v>PASS</v>
      </c>
      <c r="AF11" s="22" t="str">
        <f aca="false">IF(COUNTIF(Z11:AE11,"FAIL")=0,"PASS","FAIL")</f>
        <v>PASS</v>
      </c>
      <c r="AG11" s="23" t="s">
        <v>120</v>
      </c>
    </row>
    <row r="12" customFormat="false" ht="15" hidden="false" customHeight="false" outlineLevel="0" collapsed="false">
      <c r="A12" s="17" t="n">
        <v>9</v>
      </c>
      <c r="B12" s="17" t="s">
        <v>117</v>
      </c>
      <c r="C12" s="17" t="s">
        <v>129</v>
      </c>
      <c r="D12" s="17" t="s">
        <v>122</v>
      </c>
      <c r="E12" s="17" t="n">
        <v>1</v>
      </c>
      <c r="F12" s="17" t="n">
        <v>638</v>
      </c>
      <c r="G12" s="17" t="n">
        <v>738.8</v>
      </c>
      <c r="H12" s="17" t="n">
        <v>45</v>
      </c>
      <c r="I12" s="18" t="n">
        <v>1</v>
      </c>
      <c r="J12" s="19" t="n">
        <v>90</v>
      </c>
      <c r="K12" s="19" t="n">
        <v>35.8</v>
      </c>
      <c r="L12" s="19" t="n">
        <v>37.7</v>
      </c>
      <c r="M12" s="19" t="n">
        <v>26.6</v>
      </c>
      <c r="N12" s="19" t="n">
        <v>259.8</v>
      </c>
      <c r="O12" s="19" t="n">
        <v>91</v>
      </c>
      <c r="P12" s="20" t="n">
        <v>0.599</v>
      </c>
      <c r="Q12" s="17" t="n">
        <v>0</v>
      </c>
      <c r="R12" s="21"/>
      <c r="S12" s="19" t="n">
        <v>0</v>
      </c>
      <c r="T12" s="17" t="n">
        <v>1</v>
      </c>
      <c r="U12" s="21" t="n">
        <v>6</v>
      </c>
      <c r="V12" s="17" t="n">
        <v>0</v>
      </c>
      <c r="W12" s="17" t="n">
        <v>0</v>
      </c>
      <c r="X12" s="17" t="n">
        <v>0</v>
      </c>
      <c r="Y12" s="19" t="n">
        <v>25.2</v>
      </c>
      <c r="Z12" s="17" t="str">
        <f aca="false">IF(F12&lt;=Constraints!$B$4,"PASS","FAIL")</f>
        <v>PASS</v>
      </c>
      <c r="AA12" s="17" t="str">
        <f aca="false">IF(H12="","PASS",IF(H12&lt;=Constraints!$B$6,"PASS","FAIL"))</f>
        <v>PASS</v>
      </c>
      <c r="AB12" s="17" t="str">
        <f aca="false">IF(I12&gt;=Constraints!$B$7,"PASS","FAIL")</f>
        <v>PASS</v>
      </c>
      <c r="AC12" s="17" t="str">
        <f aca="false">IF(AND(U12&gt;=Constraints!$B$8,V12=0),"PASS","FAIL")</f>
        <v>PASS</v>
      </c>
      <c r="AD12" s="17" t="str">
        <f aca="false">IF(Y12&gt;=Constraints!$B$10-0.000001,"PASS","FAIL")</f>
        <v>PASS</v>
      </c>
      <c r="AE12" s="17" t="str">
        <f aca="false">IF(AND(W12=0,X12=0,G12&lt;=Constraints!$B$5),"PASS","FAIL")</f>
        <v>PASS</v>
      </c>
      <c r="AF12" s="22" t="str">
        <f aca="false">IF(COUNTIF(Z12:AE12,"FAIL")=0,"PASS","FAIL")</f>
        <v>PASS</v>
      </c>
      <c r="AG12" s="23" t="s">
        <v>120</v>
      </c>
    </row>
    <row r="13" customFormat="false" ht="15" hidden="false" customHeight="false" outlineLevel="0" collapsed="false">
      <c r="A13" s="17" t="n">
        <v>10</v>
      </c>
      <c r="B13" s="17" t="s">
        <v>117</v>
      </c>
      <c r="C13" s="17" t="s">
        <v>130</v>
      </c>
      <c r="D13" s="17" t="s">
        <v>122</v>
      </c>
      <c r="E13" s="17" t="n">
        <v>3</v>
      </c>
      <c r="F13" s="17" t="n">
        <v>546.9</v>
      </c>
      <c r="G13" s="17" t="n">
        <v>677.6</v>
      </c>
      <c r="H13" s="17" t="n">
        <v>102.2</v>
      </c>
      <c r="I13" s="18" t="n">
        <v>1</v>
      </c>
      <c r="J13" s="19" t="n">
        <v>94</v>
      </c>
      <c r="K13" s="19" t="n">
        <v>13.4</v>
      </c>
      <c r="L13" s="19" t="n">
        <v>65.6</v>
      </c>
      <c r="M13" s="19" t="n">
        <v>21</v>
      </c>
      <c r="N13" s="19" t="n">
        <v>152.9</v>
      </c>
      <c r="O13" s="19" t="n">
        <v>94.1</v>
      </c>
      <c r="P13" s="20" t="n">
        <v>0.619</v>
      </c>
      <c r="Q13" s="17" t="n">
        <v>4</v>
      </c>
      <c r="R13" s="21" t="n">
        <v>28.54</v>
      </c>
      <c r="S13" s="19" t="n">
        <v>93.7</v>
      </c>
      <c r="T13" s="17" t="n">
        <v>0</v>
      </c>
      <c r="U13" s="21" t="n">
        <v>6</v>
      </c>
      <c r="V13" s="17" t="n">
        <v>0</v>
      </c>
      <c r="W13" s="17" t="n">
        <v>0</v>
      </c>
      <c r="X13" s="17" t="n">
        <v>0</v>
      </c>
      <c r="Y13" s="19" t="n">
        <v>31.3</v>
      </c>
      <c r="Z13" s="17" t="str">
        <f aca="false">IF(F13&lt;=Constraints!$B$4,"PASS","FAIL")</f>
        <v>PASS</v>
      </c>
      <c r="AA13" s="17" t="str">
        <f aca="false">IF(H13="","PASS",IF(H13&lt;=Constraints!$B$6,"PASS","FAIL"))</f>
        <v>PASS</v>
      </c>
      <c r="AB13" s="17" t="str">
        <f aca="false">IF(I13&gt;=Constraints!$B$7,"PASS","FAIL")</f>
        <v>PASS</v>
      </c>
      <c r="AC13" s="17" t="str">
        <f aca="false">IF(AND(U13&gt;=Constraints!$B$8,V13=0),"PASS","FAIL")</f>
        <v>PASS</v>
      </c>
      <c r="AD13" s="17" t="str">
        <f aca="false">IF(Y13&gt;=Constraints!$B$10-0.000001,"PASS","FAIL")</f>
        <v>PASS</v>
      </c>
      <c r="AE13" s="17" t="str">
        <f aca="false">IF(AND(W13=0,X13=0,G13&lt;=Constraints!$B$5),"PASS","FAIL")</f>
        <v>PASS</v>
      </c>
      <c r="AF13" s="22" t="str">
        <f aca="false">IF(COUNTIF(Z13:AE13,"FAIL")=0,"PASS","FAIL")</f>
        <v>PASS</v>
      </c>
      <c r="AG13" s="23" t="s">
        <v>120</v>
      </c>
    </row>
    <row r="14" customFormat="false" ht="15" hidden="false" customHeight="false" outlineLevel="0" collapsed="false">
      <c r="A14" s="17" t="n">
        <v>11</v>
      </c>
      <c r="B14" s="17" t="s">
        <v>117</v>
      </c>
      <c r="C14" s="17" t="s">
        <v>131</v>
      </c>
      <c r="D14" s="17" t="s">
        <v>119</v>
      </c>
      <c r="E14" s="17" t="n">
        <v>5</v>
      </c>
      <c r="F14" s="17" t="n">
        <v>633.8</v>
      </c>
      <c r="G14" s="17" t="n">
        <v>730.2</v>
      </c>
      <c r="H14" s="17" t="n">
        <v>102.2</v>
      </c>
      <c r="I14" s="18" t="n">
        <v>1</v>
      </c>
      <c r="J14" s="19" t="n">
        <v>91.3</v>
      </c>
      <c r="K14" s="19" t="n">
        <v>26</v>
      </c>
      <c r="L14" s="19" t="n">
        <v>59.1</v>
      </c>
      <c r="M14" s="19" t="n">
        <v>14.9</v>
      </c>
      <c r="N14" s="19" t="n">
        <v>248.2</v>
      </c>
      <c r="O14" s="19" t="n">
        <v>92.3</v>
      </c>
      <c r="P14" s="20" t="n">
        <v>0.608</v>
      </c>
      <c r="Q14" s="17" t="n">
        <v>0</v>
      </c>
      <c r="R14" s="21"/>
      <c r="S14" s="19" t="n">
        <v>0</v>
      </c>
      <c r="T14" s="17" t="n">
        <v>1</v>
      </c>
      <c r="U14" s="21" t="n">
        <v>8.03</v>
      </c>
      <c r="V14" s="17" t="n">
        <v>0</v>
      </c>
      <c r="W14" s="17" t="n">
        <v>0</v>
      </c>
      <c r="X14" s="17" t="n">
        <v>0</v>
      </c>
      <c r="Y14" s="19" t="n">
        <v>21.9</v>
      </c>
      <c r="Z14" s="17" t="str">
        <f aca="false">IF(F14&lt;=Constraints!$B$4,"PASS","FAIL")</f>
        <v>PASS</v>
      </c>
      <c r="AA14" s="17" t="str">
        <f aca="false">IF(H14="","PASS",IF(H14&lt;=Constraints!$B$6,"PASS","FAIL"))</f>
        <v>PASS</v>
      </c>
      <c r="AB14" s="17" t="str">
        <f aca="false">IF(I14&gt;=Constraints!$B$7,"PASS","FAIL")</f>
        <v>PASS</v>
      </c>
      <c r="AC14" s="17" t="str">
        <f aca="false">IF(AND(U14&gt;=Constraints!$B$8,V14=0),"PASS","FAIL")</f>
        <v>PASS</v>
      </c>
      <c r="AD14" s="17" t="str">
        <f aca="false">IF(Y14&gt;=Constraints!$B$10-0.000001,"PASS","FAIL")</f>
        <v>PASS</v>
      </c>
      <c r="AE14" s="17" t="str">
        <f aca="false">IF(AND(W14=0,X14=0,G14&lt;=Constraints!$B$5),"PASS","FAIL")</f>
        <v>PASS</v>
      </c>
      <c r="AF14" s="22" t="str">
        <f aca="false">IF(COUNTIF(Z14:AE14,"FAIL")=0,"PASS","FAIL")</f>
        <v>PASS</v>
      </c>
      <c r="AG14" s="23" t="s">
        <v>120</v>
      </c>
    </row>
    <row r="15" customFormat="false" ht="15" hidden="false" customHeight="false" outlineLevel="0" collapsed="false">
      <c r="A15" s="17" t="n">
        <v>12</v>
      </c>
      <c r="B15" s="17" t="s">
        <v>117</v>
      </c>
      <c r="C15" s="17" t="s">
        <v>132</v>
      </c>
      <c r="D15" s="17" t="s">
        <v>119</v>
      </c>
      <c r="E15" s="17" t="n">
        <v>2</v>
      </c>
      <c r="F15" s="17" t="n">
        <v>300.2</v>
      </c>
      <c r="G15" s="17" t="n">
        <v>371.1</v>
      </c>
      <c r="H15" s="17" t="n">
        <v>71.8</v>
      </c>
      <c r="I15" s="18" t="n">
        <v>1</v>
      </c>
      <c r="J15" s="19" t="n">
        <v>99</v>
      </c>
      <c r="K15" s="19" t="n">
        <v>4</v>
      </c>
      <c r="L15" s="19" t="n">
        <v>46.6</v>
      </c>
      <c r="M15" s="19" t="n">
        <v>49.4</v>
      </c>
      <c r="N15" s="19" t="n">
        <v>12.4</v>
      </c>
      <c r="O15" s="19" t="n">
        <v>99.4</v>
      </c>
      <c r="P15" s="20" t="n">
        <v>0.635</v>
      </c>
      <c r="Q15" s="17" t="n">
        <v>0</v>
      </c>
      <c r="R15" s="21"/>
      <c r="S15" s="19" t="n">
        <v>0</v>
      </c>
      <c r="T15" s="17" t="n">
        <v>0</v>
      </c>
      <c r="U15" s="21" t="n">
        <v>6</v>
      </c>
      <c r="V15" s="17" t="n">
        <v>0</v>
      </c>
      <c r="W15" s="17" t="n">
        <v>0</v>
      </c>
      <c r="X15" s="17" t="n">
        <v>0</v>
      </c>
      <c r="Y15" s="19" t="n">
        <v>40.6</v>
      </c>
      <c r="Z15" s="17" t="str">
        <f aca="false">IF(F15&lt;=Constraints!$B$4,"PASS","FAIL")</f>
        <v>PASS</v>
      </c>
      <c r="AA15" s="17" t="str">
        <f aca="false">IF(H15="","PASS",IF(H15&lt;=Constraints!$B$6,"PASS","FAIL"))</f>
        <v>PASS</v>
      </c>
      <c r="AB15" s="17" t="str">
        <f aca="false">IF(I15&gt;=Constraints!$B$7,"PASS","FAIL")</f>
        <v>PASS</v>
      </c>
      <c r="AC15" s="17" t="str">
        <f aca="false">IF(AND(U15&gt;=Constraints!$B$8,V15=0),"PASS","FAIL")</f>
        <v>PASS</v>
      </c>
      <c r="AD15" s="17" t="str">
        <f aca="false">IF(Y15&gt;=Constraints!$B$10-0.000001,"PASS","FAIL")</f>
        <v>PASS</v>
      </c>
      <c r="AE15" s="17" t="str">
        <f aca="false">IF(AND(W15=0,X15=0,G15&lt;=Constraints!$B$5),"PASS","FAIL")</f>
        <v>PASS</v>
      </c>
      <c r="AF15" s="22" t="str">
        <f aca="false">IF(COUNTIF(Z15:AE15,"FAIL")=0,"PASS","FAIL")</f>
        <v>PASS</v>
      </c>
      <c r="AG15" s="23" t="s">
        <v>120</v>
      </c>
    </row>
    <row r="16" customFormat="false" ht="15" hidden="false" customHeight="false" outlineLevel="0" collapsed="false">
      <c r="A16" s="17" t="n">
        <v>13</v>
      </c>
      <c r="B16" s="17" t="s">
        <v>117</v>
      </c>
      <c r="C16" s="17" t="s">
        <v>133</v>
      </c>
      <c r="D16" s="17" t="s">
        <v>122</v>
      </c>
      <c r="E16" s="17" t="n">
        <v>2</v>
      </c>
      <c r="F16" s="17" t="n">
        <v>453.6</v>
      </c>
      <c r="G16" s="17" t="n">
        <v>563.5</v>
      </c>
      <c r="H16" s="17" t="n">
        <v>55.1</v>
      </c>
      <c r="I16" s="18" t="n">
        <v>0.875</v>
      </c>
      <c r="J16" s="19" t="n">
        <v>91.2</v>
      </c>
      <c r="K16" s="19" t="n">
        <v>28.2</v>
      </c>
      <c r="L16" s="19" t="n">
        <v>40.4</v>
      </c>
      <c r="M16" s="19" t="n">
        <v>31.3</v>
      </c>
      <c r="N16" s="19" t="n">
        <v>204</v>
      </c>
      <c r="O16" s="19" t="n">
        <v>91.1</v>
      </c>
      <c r="P16" s="20" t="n">
        <v>0.615</v>
      </c>
      <c r="Q16" s="17" t="n">
        <v>4</v>
      </c>
      <c r="R16" s="21" t="n">
        <v>20.16</v>
      </c>
      <c r="S16" s="19" t="n">
        <v>60.4</v>
      </c>
      <c r="T16" s="17" t="n">
        <v>0</v>
      </c>
      <c r="U16" s="21" t="n">
        <v>6</v>
      </c>
      <c r="V16" s="17" t="n">
        <v>0</v>
      </c>
      <c r="W16" s="17" t="n">
        <v>0</v>
      </c>
      <c r="X16" s="17" t="n">
        <v>0</v>
      </c>
      <c r="Y16" s="19" t="n">
        <v>26.1</v>
      </c>
      <c r="Z16" s="17" t="str">
        <f aca="false">IF(F16&lt;=Constraints!$B$4,"PASS","FAIL")</f>
        <v>PASS</v>
      </c>
      <c r="AA16" s="17" t="str">
        <f aca="false">IF(H16="","PASS",IF(H16&lt;=Constraints!$B$6,"PASS","FAIL"))</f>
        <v>PASS</v>
      </c>
      <c r="AB16" s="17" t="str">
        <f aca="false">IF(I16&gt;=Constraints!$B$7,"PASS","FAIL")</f>
        <v>PASS</v>
      </c>
      <c r="AC16" s="17" t="str">
        <f aca="false">IF(AND(U16&gt;=Constraints!$B$8,V16=0),"PASS","FAIL")</f>
        <v>PASS</v>
      </c>
      <c r="AD16" s="17" t="str">
        <f aca="false">IF(Y16&gt;=Constraints!$B$10-0.000001,"PASS","FAIL")</f>
        <v>PASS</v>
      </c>
      <c r="AE16" s="17" t="str">
        <f aca="false">IF(AND(W16=0,X16=0,G16&lt;=Constraints!$B$5),"PASS","FAIL")</f>
        <v>PASS</v>
      </c>
      <c r="AF16" s="22" t="str">
        <f aca="false">IF(COUNTIF(Z16:AE16,"FAIL")=0,"PASS","FAIL")</f>
        <v>PASS</v>
      </c>
      <c r="AG16" s="23" t="s">
        <v>120</v>
      </c>
    </row>
    <row r="17" customFormat="false" ht="15" hidden="false" customHeight="false" outlineLevel="0" collapsed="false">
      <c r="A17" s="17" t="n">
        <v>14</v>
      </c>
      <c r="B17" s="17" t="s">
        <v>117</v>
      </c>
      <c r="C17" s="17" t="s">
        <v>134</v>
      </c>
      <c r="D17" s="17" t="s">
        <v>119</v>
      </c>
      <c r="E17" s="17" t="n">
        <v>1</v>
      </c>
      <c r="F17" s="17" t="n">
        <v>463.2</v>
      </c>
      <c r="G17" s="17" t="n">
        <v>614.1</v>
      </c>
      <c r="H17" s="17" t="n">
        <v>50.5</v>
      </c>
      <c r="I17" s="18" t="n">
        <v>1</v>
      </c>
      <c r="J17" s="19" t="n">
        <v>99.1</v>
      </c>
      <c r="K17" s="19" t="n">
        <v>3.6</v>
      </c>
      <c r="L17" s="19" t="n">
        <v>68.7</v>
      </c>
      <c r="M17" s="19" t="n">
        <v>27.7</v>
      </c>
      <c r="N17" s="19" t="n">
        <v>19.7</v>
      </c>
      <c r="O17" s="19" t="n">
        <v>99.2</v>
      </c>
      <c r="P17" s="20" t="n">
        <v>0.599</v>
      </c>
      <c r="Q17" s="17" t="n">
        <v>0</v>
      </c>
      <c r="R17" s="21"/>
      <c r="S17" s="19" t="n">
        <v>0</v>
      </c>
      <c r="T17" s="17" t="n">
        <v>0</v>
      </c>
      <c r="U17" s="21" t="n">
        <v>6</v>
      </c>
      <c r="V17" s="17" t="n">
        <v>0</v>
      </c>
      <c r="W17" s="17" t="n">
        <v>0</v>
      </c>
      <c r="X17" s="17" t="n">
        <v>0</v>
      </c>
      <c r="Y17" s="19" t="n">
        <v>34.3</v>
      </c>
      <c r="Z17" s="17" t="str">
        <f aca="false">IF(F17&lt;=Constraints!$B$4,"PASS","FAIL")</f>
        <v>PASS</v>
      </c>
      <c r="AA17" s="17" t="str">
        <f aca="false">IF(H17="","PASS",IF(H17&lt;=Constraints!$B$6,"PASS","FAIL"))</f>
        <v>PASS</v>
      </c>
      <c r="AB17" s="17" t="str">
        <f aca="false">IF(I17&gt;=Constraints!$B$7,"PASS","FAIL")</f>
        <v>PASS</v>
      </c>
      <c r="AC17" s="17" t="str">
        <f aca="false">IF(AND(U17&gt;=Constraints!$B$8,V17=0),"PASS","FAIL")</f>
        <v>PASS</v>
      </c>
      <c r="AD17" s="17" t="str">
        <f aca="false">IF(Y17&gt;=Constraints!$B$10-0.000001,"PASS","FAIL")</f>
        <v>PASS</v>
      </c>
      <c r="AE17" s="17" t="str">
        <f aca="false">IF(AND(W17=0,X17=0,G17&lt;=Constraints!$B$5),"PASS","FAIL")</f>
        <v>PASS</v>
      </c>
      <c r="AF17" s="22" t="str">
        <f aca="false">IF(COUNTIF(Z17:AE17,"FAIL")=0,"PASS","FAIL")</f>
        <v>PASS</v>
      </c>
      <c r="AG17" s="23" t="s">
        <v>120</v>
      </c>
    </row>
    <row r="18" customFormat="false" ht="15" hidden="false" customHeight="false" outlineLevel="0" collapsed="false">
      <c r="A18" s="17" t="n">
        <v>15</v>
      </c>
      <c r="B18" s="17" t="s">
        <v>117</v>
      </c>
      <c r="C18" s="17" t="s">
        <v>135</v>
      </c>
      <c r="D18" s="17" t="s">
        <v>119</v>
      </c>
      <c r="E18" s="17" t="n">
        <v>2</v>
      </c>
      <c r="F18" s="17" t="n">
        <v>410.5</v>
      </c>
      <c r="G18" s="17" t="n">
        <v>558.3</v>
      </c>
      <c r="H18" s="17" t="n">
        <v>45.8</v>
      </c>
      <c r="I18" s="18" t="n">
        <v>1</v>
      </c>
      <c r="J18" s="19" t="n">
        <v>96.7</v>
      </c>
      <c r="K18" s="19" t="n">
        <v>13</v>
      </c>
      <c r="L18" s="19" t="n">
        <v>57.8</v>
      </c>
      <c r="M18" s="19" t="n">
        <v>29.2</v>
      </c>
      <c r="N18" s="19" t="n">
        <v>72.6</v>
      </c>
      <c r="O18" s="19" t="n">
        <v>97.3</v>
      </c>
      <c r="P18" s="20" t="n">
        <v>0.634</v>
      </c>
      <c r="Q18" s="17" t="n">
        <v>0</v>
      </c>
      <c r="R18" s="21"/>
      <c r="S18" s="19" t="n">
        <v>0</v>
      </c>
      <c r="T18" s="17" t="n">
        <v>0</v>
      </c>
      <c r="U18" s="21" t="n">
        <v>6</v>
      </c>
      <c r="V18" s="17" t="n">
        <v>0</v>
      </c>
      <c r="W18" s="17" t="n">
        <v>0</v>
      </c>
      <c r="X18" s="17" t="n">
        <v>0</v>
      </c>
      <c r="Y18" s="19" t="n">
        <v>43.8</v>
      </c>
      <c r="Z18" s="17" t="str">
        <f aca="false">IF(F18&lt;=Constraints!$B$4,"PASS","FAIL")</f>
        <v>PASS</v>
      </c>
      <c r="AA18" s="17" t="str">
        <f aca="false">IF(H18="","PASS",IF(H18&lt;=Constraints!$B$6,"PASS","FAIL"))</f>
        <v>PASS</v>
      </c>
      <c r="AB18" s="17" t="str">
        <f aca="false">IF(I18&gt;=Constraints!$B$7,"PASS","FAIL")</f>
        <v>PASS</v>
      </c>
      <c r="AC18" s="17" t="str">
        <f aca="false">IF(AND(U18&gt;=Constraints!$B$8,V18=0),"PASS","FAIL")</f>
        <v>PASS</v>
      </c>
      <c r="AD18" s="17" t="str">
        <f aca="false">IF(Y18&gt;=Constraints!$B$10-0.000001,"PASS","FAIL")</f>
        <v>PASS</v>
      </c>
      <c r="AE18" s="17" t="str">
        <f aca="false">IF(AND(W18=0,X18=0,G18&lt;=Constraints!$B$5),"PASS","FAIL")</f>
        <v>PASS</v>
      </c>
      <c r="AF18" s="22" t="str">
        <f aca="false">IF(COUNTIF(Z18:AE18,"FAIL")=0,"PASS","FAIL")</f>
        <v>PASS</v>
      </c>
      <c r="AG18" s="23" t="s">
        <v>120</v>
      </c>
    </row>
    <row r="19" customFormat="false" ht="15" hidden="false" customHeight="false" outlineLevel="0" collapsed="false">
      <c r="A19" s="17" t="n">
        <v>16</v>
      </c>
      <c r="B19" s="17" t="s">
        <v>117</v>
      </c>
      <c r="C19" s="17" t="s">
        <v>136</v>
      </c>
      <c r="D19" s="17" t="s">
        <v>122</v>
      </c>
      <c r="E19" s="17" t="n">
        <v>1</v>
      </c>
      <c r="F19" s="17" t="n">
        <v>529.2</v>
      </c>
      <c r="G19" s="17" t="n">
        <v>663.7</v>
      </c>
      <c r="H19" s="17" t="n">
        <v>36.7</v>
      </c>
      <c r="I19" s="18" t="n">
        <v>1</v>
      </c>
      <c r="J19" s="19" t="n">
        <v>97.6</v>
      </c>
      <c r="K19" s="19" t="n">
        <v>6.7</v>
      </c>
      <c r="L19" s="19" t="n">
        <v>71.3</v>
      </c>
      <c r="M19" s="19" t="n">
        <v>22</v>
      </c>
      <c r="N19" s="19" t="n">
        <v>57.7</v>
      </c>
      <c r="O19" s="19" t="n">
        <v>97.4</v>
      </c>
      <c r="P19" s="20" t="n">
        <v>0.616</v>
      </c>
      <c r="Q19" s="17" t="n">
        <v>4</v>
      </c>
      <c r="R19" s="21" t="n">
        <v>10.75</v>
      </c>
      <c r="S19" s="19" t="n">
        <v>22.8</v>
      </c>
      <c r="T19" s="17" t="n">
        <v>0</v>
      </c>
      <c r="U19" s="21" t="n">
        <v>6</v>
      </c>
      <c r="V19" s="17" t="n">
        <v>0</v>
      </c>
      <c r="W19" s="17" t="n">
        <v>0</v>
      </c>
      <c r="X19" s="17" t="n">
        <v>0</v>
      </c>
      <c r="Y19" s="19" t="n">
        <v>33.2</v>
      </c>
      <c r="Z19" s="17" t="str">
        <f aca="false">IF(F19&lt;=Constraints!$B$4,"PASS","FAIL")</f>
        <v>PASS</v>
      </c>
      <c r="AA19" s="17" t="str">
        <f aca="false">IF(H19="","PASS",IF(H19&lt;=Constraints!$B$6,"PASS","FAIL"))</f>
        <v>PASS</v>
      </c>
      <c r="AB19" s="17" t="str">
        <f aca="false">IF(I19&gt;=Constraints!$B$7,"PASS","FAIL")</f>
        <v>PASS</v>
      </c>
      <c r="AC19" s="17" t="str">
        <f aca="false">IF(AND(U19&gt;=Constraints!$B$8,V19=0),"PASS","FAIL")</f>
        <v>PASS</v>
      </c>
      <c r="AD19" s="17" t="str">
        <f aca="false">IF(Y19&gt;=Constraints!$B$10-0.000001,"PASS","FAIL")</f>
        <v>PASS</v>
      </c>
      <c r="AE19" s="17" t="str">
        <f aca="false">IF(AND(W19=0,X19=0,G19&lt;=Constraints!$B$5),"PASS","FAIL")</f>
        <v>PASS</v>
      </c>
      <c r="AF19" s="22" t="str">
        <f aca="false">IF(COUNTIF(Z19:AE19,"FAIL")=0,"PASS","FAIL")</f>
        <v>PASS</v>
      </c>
      <c r="AG19" s="23" t="s">
        <v>120</v>
      </c>
    </row>
    <row r="20" customFormat="false" ht="15" hidden="false" customHeight="false" outlineLevel="0" collapsed="false">
      <c r="A20" s="17" t="n">
        <v>17</v>
      </c>
      <c r="B20" s="17" t="s">
        <v>117</v>
      </c>
      <c r="C20" s="17" t="s">
        <v>137</v>
      </c>
      <c r="D20" s="17" t="s">
        <v>119</v>
      </c>
      <c r="E20" s="17" t="n">
        <v>3</v>
      </c>
      <c r="F20" s="17" t="n">
        <v>360.3</v>
      </c>
      <c r="G20" s="17" t="n">
        <v>445.4</v>
      </c>
      <c r="H20" s="17" t="n">
        <v>73.2</v>
      </c>
      <c r="I20" s="18" t="n">
        <v>1</v>
      </c>
      <c r="J20" s="19" t="n">
        <v>95.1</v>
      </c>
      <c r="K20" s="19" t="n">
        <v>13.4</v>
      </c>
      <c r="L20" s="19" t="n">
        <v>46.5</v>
      </c>
      <c r="M20" s="19" t="n">
        <v>40.1</v>
      </c>
      <c r="N20" s="19" t="n">
        <v>75.1</v>
      </c>
      <c r="O20" s="19" t="n">
        <v>96.3</v>
      </c>
      <c r="P20" s="20" t="n">
        <v>0.645</v>
      </c>
      <c r="Q20" s="17" t="n">
        <v>0</v>
      </c>
      <c r="R20" s="21"/>
      <c r="S20" s="19" t="n">
        <v>0</v>
      </c>
      <c r="T20" s="17" t="n">
        <v>0</v>
      </c>
      <c r="U20" s="21" t="n">
        <v>6</v>
      </c>
      <c r="V20" s="17" t="n">
        <v>0</v>
      </c>
      <c r="W20" s="17" t="n">
        <v>0</v>
      </c>
      <c r="X20" s="17" t="n">
        <v>0</v>
      </c>
      <c r="Y20" s="19" t="n">
        <v>35.3</v>
      </c>
      <c r="Z20" s="17" t="str">
        <f aca="false">IF(F20&lt;=Constraints!$B$4,"PASS","FAIL")</f>
        <v>PASS</v>
      </c>
      <c r="AA20" s="17" t="str">
        <f aca="false">IF(H20="","PASS",IF(H20&lt;=Constraints!$B$6,"PASS","FAIL"))</f>
        <v>PASS</v>
      </c>
      <c r="AB20" s="17" t="str">
        <f aca="false">IF(I20&gt;=Constraints!$B$7,"PASS","FAIL")</f>
        <v>PASS</v>
      </c>
      <c r="AC20" s="17" t="str">
        <f aca="false">IF(AND(U20&gt;=Constraints!$B$8,V20=0),"PASS","FAIL")</f>
        <v>PASS</v>
      </c>
      <c r="AD20" s="17" t="str">
        <f aca="false">IF(Y20&gt;=Constraints!$B$10-0.000001,"PASS","FAIL")</f>
        <v>PASS</v>
      </c>
      <c r="AE20" s="17" t="str">
        <f aca="false">IF(AND(W20=0,X20=0,G20&lt;=Constraints!$B$5),"PASS","FAIL")</f>
        <v>PASS</v>
      </c>
      <c r="AF20" s="22" t="str">
        <f aca="false">IF(COUNTIF(Z20:AE20,"FAIL")=0,"PASS","FAIL")</f>
        <v>PASS</v>
      </c>
      <c r="AG20" s="23" t="s">
        <v>120</v>
      </c>
    </row>
    <row r="21" customFormat="false" ht="15" hidden="false" customHeight="false" outlineLevel="0" collapsed="false">
      <c r="A21" s="17" t="n">
        <v>18</v>
      </c>
      <c r="B21" s="17" t="s">
        <v>117</v>
      </c>
      <c r="C21" s="17" t="s">
        <v>138</v>
      </c>
      <c r="D21" s="17" t="s">
        <v>119</v>
      </c>
      <c r="E21" s="17" t="n">
        <v>3</v>
      </c>
      <c r="F21" s="17" t="n">
        <v>585.9</v>
      </c>
      <c r="G21" s="17" t="n">
        <v>722</v>
      </c>
      <c r="H21" s="17" t="n">
        <v>123.5</v>
      </c>
      <c r="I21" s="18" t="n">
        <v>1</v>
      </c>
      <c r="J21" s="19" t="n">
        <v>98</v>
      </c>
      <c r="K21" s="19" t="n">
        <v>8.6</v>
      </c>
      <c r="L21" s="19" t="n">
        <v>70.9</v>
      </c>
      <c r="M21" s="19" t="n">
        <v>20.5</v>
      </c>
      <c r="N21" s="19" t="n">
        <v>62.1</v>
      </c>
      <c r="O21" s="19" t="n">
        <v>98.1</v>
      </c>
      <c r="P21" s="20" t="n">
        <v>0.619</v>
      </c>
      <c r="Q21" s="17" t="n">
        <v>0</v>
      </c>
      <c r="R21" s="21"/>
      <c r="S21" s="19" t="n">
        <v>0</v>
      </c>
      <c r="T21" s="17" t="n">
        <v>0</v>
      </c>
      <c r="U21" s="21" t="n">
        <v>6</v>
      </c>
      <c r="V21" s="17" t="n">
        <v>0</v>
      </c>
      <c r="W21" s="17" t="n">
        <v>0</v>
      </c>
      <c r="X21" s="17" t="n">
        <v>0</v>
      </c>
      <c r="Y21" s="19" t="n">
        <v>34.2</v>
      </c>
      <c r="Z21" s="17" t="str">
        <f aca="false">IF(F21&lt;=Constraints!$B$4,"PASS","FAIL")</f>
        <v>PASS</v>
      </c>
      <c r="AA21" s="17" t="str">
        <f aca="false">IF(H21="","PASS",IF(H21&lt;=Constraints!$B$6,"PASS","FAIL"))</f>
        <v>PASS</v>
      </c>
      <c r="AB21" s="17" t="str">
        <f aca="false">IF(I21&gt;=Constraints!$B$7,"PASS","FAIL")</f>
        <v>PASS</v>
      </c>
      <c r="AC21" s="17" t="str">
        <f aca="false">IF(AND(U21&gt;=Constraints!$B$8,V21=0),"PASS","FAIL")</f>
        <v>PASS</v>
      </c>
      <c r="AD21" s="17" t="str">
        <f aca="false">IF(Y21&gt;=Constraints!$B$10-0.000001,"PASS","FAIL")</f>
        <v>PASS</v>
      </c>
      <c r="AE21" s="17" t="str">
        <f aca="false">IF(AND(W21=0,X21=0,G21&lt;=Constraints!$B$5),"PASS","FAIL")</f>
        <v>PASS</v>
      </c>
      <c r="AF21" s="22" t="str">
        <f aca="false">IF(COUNTIF(Z21:AE21,"FAIL")=0,"PASS","FAIL")</f>
        <v>PASS</v>
      </c>
      <c r="AG21" s="23" t="s">
        <v>120</v>
      </c>
    </row>
    <row r="22" customFormat="false" ht="15" hidden="false" customHeight="false" outlineLevel="0" collapsed="false">
      <c r="A22" s="17" t="n">
        <v>19</v>
      </c>
      <c r="B22" s="17" t="s">
        <v>117</v>
      </c>
      <c r="C22" s="17" t="s">
        <v>139</v>
      </c>
      <c r="D22" s="17" t="s">
        <v>122</v>
      </c>
      <c r="E22" s="17" t="n">
        <v>1</v>
      </c>
      <c r="F22" s="17" t="n">
        <v>622</v>
      </c>
      <c r="G22" s="17" t="n">
        <v>729.7</v>
      </c>
      <c r="H22" s="17" t="n">
        <v>117.5</v>
      </c>
      <c r="I22" s="18" t="n">
        <v>1</v>
      </c>
      <c r="J22" s="19" t="n">
        <v>90.5</v>
      </c>
      <c r="K22" s="19" t="n">
        <v>27.3</v>
      </c>
      <c r="L22" s="19" t="n">
        <v>51.5</v>
      </c>
      <c r="M22" s="19" t="n">
        <v>21.2</v>
      </c>
      <c r="N22" s="19" t="n">
        <v>269.6</v>
      </c>
      <c r="O22" s="19" t="n">
        <v>91.2</v>
      </c>
      <c r="P22" s="20" t="n">
        <v>0.592</v>
      </c>
      <c r="Q22" s="17" t="n">
        <v>4</v>
      </c>
      <c r="R22" s="21" t="n">
        <v>22.14</v>
      </c>
      <c r="S22" s="19" t="n">
        <v>68.4</v>
      </c>
      <c r="T22" s="17" t="n">
        <v>1</v>
      </c>
      <c r="U22" s="21" t="n">
        <v>6</v>
      </c>
      <c r="V22" s="17" t="n">
        <v>0</v>
      </c>
      <c r="W22" s="17" t="n">
        <v>0</v>
      </c>
      <c r="X22" s="17" t="n">
        <v>0</v>
      </c>
      <c r="Y22" s="19" t="n">
        <v>25.4</v>
      </c>
      <c r="Z22" s="17" t="str">
        <f aca="false">IF(F22&lt;=Constraints!$B$4,"PASS","FAIL")</f>
        <v>PASS</v>
      </c>
      <c r="AA22" s="17" t="str">
        <f aca="false">IF(H22="","PASS",IF(H22&lt;=Constraints!$B$6,"PASS","FAIL"))</f>
        <v>PASS</v>
      </c>
      <c r="AB22" s="17" t="str">
        <f aca="false">IF(I22&gt;=Constraints!$B$7,"PASS","FAIL")</f>
        <v>PASS</v>
      </c>
      <c r="AC22" s="17" t="str">
        <f aca="false">IF(AND(U22&gt;=Constraints!$B$8,V22=0),"PASS","FAIL")</f>
        <v>PASS</v>
      </c>
      <c r="AD22" s="17" t="str">
        <f aca="false">IF(Y22&gt;=Constraints!$B$10-0.000001,"PASS","FAIL")</f>
        <v>PASS</v>
      </c>
      <c r="AE22" s="17" t="str">
        <f aca="false">IF(AND(W22=0,X22=0,G22&lt;=Constraints!$B$5),"PASS","FAIL")</f>
        <v>PASS</v>
      </c>
      <c r="AF22" s="22" t="str">
        <f aca="false">IF(COUNTIF(Z22:AE22,"FAIL")=0,"PASS","FAIL")</f>
        <v>PASS</v>
      </c>
      <c r="AG22" s="23" t="s">
        <v>120</v>
      </c>
    </row>
    <row r="23" customFormat="false" ht="15" hidden="false" customHeight="false" outlineLevel="0" collapsed="false">
      <c r="A23" s="17" t="n">
        <v>20</v>
      </c>
      <c r="B23" s="17" t="s">
        <v>117</v>
      </c>
      <c r="C23" s="17" t="s">
        <v>140</v>
      </c>
      <c r="D23" s="17" t="s">
        <v>119</v>
      </c>
      <c r="E23" s="17" t="n">
        <v>2</v>
      </c>
      <c r="F23" s="17" t="n">
        <v>406.8</v>
      </c>
      <c r="G23" s="17" t="n">
        <v>525.4</v>
      </c>
      <c r="H23" s="17" t="n">
        <v>64.8</v>
      </c>
      <c r="I23" s="18" t="n">
        <v>1</v>
      </c>
      <c r="J23" s="19" t="n">
        <v>95.6</v>
      </c>
      <c r="K23" s="19" t="n">
        <v>17.1</v>
      </c>
      <c r="L23" s="19" t="n">
        <v>48.7</v>
      </c>
      <c r="M23" s="19" t="n">
        <v>34.2</v>
      </c>
      <c r="N23" s="19" t="n">
        <v>82.2</v>
      </c>
      <c r="O23" s="19" t="n">
        <v>96.6</v>
      </c>
      <c r="P23" s="20" t="n">
        <v>0.619</v>
      </c>
      <c r="Q23" s="17" t="n">
        <v>0</v>
      </c>
      <c r="R23" s="21"/>
      <c r="S23" s="19" t="n">
        <v>0</v>
      </c>
      <c r="T23" s="17" t="n">
        <v>0</v>
      </c>
      <c r="U23" s="21" t="n">
        <v>6</v>
      </c>
      <c r="V23" s="17" t="n">
        <v>0</v>
      </c>
      <c r="W23" s="17" t="n">
        <v>0</v>
      </c>
      <c r="X23" s="17" t="n">
        <v>0</v>
      </c>
      <c r="Y23" s="19" t="n">
        <v>42.4</v>
      </c>
      <c r="Z23" s="17" t="str">
        <f aca="false">IF(F23&lt;=Constraints!$B$4,"PASS","FAIL")</f>
        <v>PASS</v>
      </c>
      <c r="AA23" s="17" t="str">
        <f aca="false">IF(H23="","PASS",IF(H23&lt;=Constraints!$B$6,"PASS","FAIL"))</f>
        <v>PASS</v>
      </c>
      <c r="AB23" s="17" t="str">
        <f aca="false">IF(I23&gt;=Constraints!$B$7,"PASS","FAIL")</f>
        <v>PASS</v>
      </c>
      <c r="AC23" s="17" t="str">
        <f aca="false">IF(AND(U23&gt;=Constraints!$B$8,V23=0),"PASS","FAIL")</f>
        <v>PASS</v>
      </c>
      <c r="AD23" s="17" t="str">
        <f aca="false">IF(Y23&gt;=Constraints!$B$10-0.000001,"PASS","FAIL")</f>
        <v>PASS</v>
      </c>
      <c r="AE23" s="17" t="str">
        <f aca="false">IF(AND(W23=0,X23=0,G23&lt;=Constraints!$B$5),"PASS","FAIL")</f>
        <v>PASS</v>
      </c>
      <c r="AF23" s="22" t="str">
        <f aca="false">IF(COUNTIF(Z23:AE23,"FAIL")=0,"PASS","FAIL")</f>
        <v>PASS</v>
      </c>
      <c r="AG23" s="23" t="s">
        <v>120</v>
      </c>
    </row>
    <row r="24" customFormat="false" ht="15" hidden="false" customHeight="false" outlineLevel="0" collapsed="false">
      <c r="A24" s="17" t="n">
        <v>21</v>
      </c>
      <c r="B24" s="17" t="s">
        <v>117</v>
      </c>
      <c r="C24" s="17" t="s">
        <v>141</v>
      </c>
      <c r="D24" s="17" t="s">
        <v>122</v>
      </c>
      <c r="E24" s="17" t="n">
        <v>3</v>
      </c>
      <c r="F24" s="17" t="n">
        <v>398.8</v>
      </c>
      <c r="G24" s="17" t="n">
        <v>494.1</v>
      </c>
      <c r="H24" s="17" t="n">
        <v>81.2</v>
      </c>
      <c r="I24" s="18" t="n">
        <v>1</v>
      </c>
      <c r="J24" s="19" t="n">
        <v>92.4</v>
      </c>
      <c r="K24" s="19" t="n">
        <v>30.2</v>
      </c>
      <c r="L24" s="19" t="n">
        <v>21</v>
      </c>
      <c r="M24" s="19" t="n">
        <v>48.8</v>
      </c>
      <c r="N24" s="19" t="n">
        <v>131</v>
      </c>
      <c r="O24" s="19" t="n">
        <v>92.5</v>
      </c>
      <c r="P24" s="20" t="n">
        <v>0.605</v>
      </c>
      <c r="Q24" s="17" t="n">
        <v>0</v>
      </c>
      <c r="R24" s="21"/>
      <c r="S24" s="19" t="n">
        <v>0</v>
      </c>
      <c r="T24" s="17" t="n">
        <v>0</v>
      </c>
      <c r="U24" s="21" t="n">
        <v>6</v>
      </c>
      <c r="V24" s="17" t="n">
        <v>0</v>
      </c>
      <c r="W24" s="17" t="n">
        <v>0</v>
      </c>
      <c r="X24" s="17" t="n">
        <v>0</v>
      </c>
      <c r="Y24" s="19" t="n">
        <v>23.6</v>
      </c>
      <c r="Z24" s="17" t="str">
        <f aca="false">IF(F24&lt;=Constraints!$B$4,"PASS","FAIL")</f>
        <v>PASS</v>
      </c>
      <c r="AA24" s="17" t="str">
        <f aca="false">IF(H24="","PASS",IF(H24&lt;=Constraints!$B$6,"PASS","FAIL"))</f>
        <v>PASS</v>
      </c>
      <c r="AB24" s="17" t="str">
        <f aca="false">IF(I24&gt;=Constraints!$B$7,"PASS","FAIL")</f>
        <v>PASS</v>
      </c>
      <c r="AC24" s="17" t="str">
        <f aca="false">IF(AND(U24&gt;=Constraints!$B$8,V24=0),"PASS","FAIL")</f>
        <v>PASS</v>
      </c>
      <c r="AD24" s="17" t="str">
        <f aca="false">IF(Y24&gt;=Constraints!$B$10-0.000001,"PASS","FAIL")</f>
        <v>PASS</v>
      </c>
      <c r="AE24" s="17" t="str">
        <f aca="false">IF(AND(W24=0,X24=0,G24&lt;=Constraints!$B$5),"PASS","FAIL")</f>
        <v>PASS</v>
      </c>
      <c r="AF24" s="22" t="str">
        <f aca="false">IF(COUNTIF(Z24:AE24,"FAIL")=0,"PASS","FAIL")</f>
        <v>PASS</v>
      </c>
      <c r="AG24" s="23" t="s">
        <v>120</v>
      </c>
    </row>
    <row r="25" customFormat="false" ht="15" hidden="false" customHeight="false" outlineLevel="0" collapsed="false">
      <c r="A25" s="17" t="n">
        <v>22</v>
      </c>
      <c r="B25" s="17" t="s">
        <v>117</v>
      </c>
      <c r="C25" s="17" t="s">
        <v>142</v>
      </c>
      <c r="D25" s="17" t="s">
        <v>119</v>
      </c>
      <c r="E25" s="17" t="n">
        <v>1</v>
      </c>
      <c r="F25" s="17" t="n">
        <v>410.7</v>
      </c>
      <c r="G25" s="17" t="n">
        <v>530.1</v>
      </c>
      <c r="H25" s="17" t="n">
        <v>54.2</v>
      </c>
      <c r="I25" s="18" t="n">
        <v>1</v>
      </c>
      <c r="J25" s="19" t="n">
        <v>98.2</v>
      </c>
      <c r="K25" s="19" t="n">
        <v>7.4</v>
      </c>
      <c r="L25" s="19" t="n">
        <v>60</v>
      </c>
      <c r="M25" s="19" t="n">
        <v>32.6</v>
      </c>
      <c r="N25" s="19" t="n">
        <v>34.8</v>
      </c>
      <c r="O25" s="19" t="n">
        <v>98.5</v>
      </c>
      <c r="P25" s="20" t="n">
        <v>0.62</v>
      </c>
      <c r="Q25" s="17" t="n">
        <v>0</v>
      </c>
      <c r="R25" s="21"/>
      <c r="S25" s="19" t="n">
        <v>0</v>
      </c>
      <c r="T25" s="17" t="n">
        <v>0</v>
      </c>
      <c r="U25" s="21" t="n">
        <v>6</v>
      </c>
      <c r="V25" s="17" t="n">
        <v>0</v>
      </c>
      <c r="W25" s="17" t="n">
        <v>0</v>
      </c>
      <c r="X25" s="17" t="n">
        <v>0</v>
      </c>
      <c r="Y25" s="19" t="n">
        <v>20.1</v>
      </c>
      <c r="Z25" s="17" t="str">
        <f aca="false">IF(F25&lt;=Constraints!$B$4,"PASS","FAIL")</f>
        <v>PASS</v>
      </c>
      <c r="AA25" s="17" t="str">
        <f aca="false">IF(H25="","PASS",IF(H25&lt;=Constraints!$B$6,"PASS","FAIL"))</f>
        <v>PASS</v>
      </c>
      <c r="AB25" s="17" t="str">
        <f aca="false">IF(I25&gt;=Constraints!$B$7,"PASS","FAIL")</f>
        <v>PASS</v>
      </c>
      <c r="AC25" s="17" t="str">
        <f aca="false">IF(AND(U25&gt;=Constraints!$B$8,V25=0),"PASS","FAIL")</f>
        <v>PASS</v>
      </c>
      <c r="AD25" s="17" t="str">
        <f aca="false">IF(Y25&gt;=Constraints!$B$10-0.000001,"PASS","FAIL")</f>
        <v>PASS</v>
      </c>
      <c r="AE25" s="17" t="str">
        <f aca="false">IF(AND(W25=0,X25=0,G25&lt;=Constraints!$B$5),"PASS","FAIL")</f>
        <v>PASS</v>
      </c>
      <c r="AF25" s="22" t="str">
        <f aca="false">IF(COUNTIF(Z25:AE25,"FAIL")=0,"PASS","FAIL")</f>
        <v>PASS</v>
      </c>
      <c r="AG25" s="23" t="s">
        <v>120</v>
      </c>
    </row>
    <row r="26" customFormat="false" ht="15" hidden="false" customHeight="false" outlineLevel="0" collapsed="false">
      <c r="A26" s="17" t="n">
        <v>23</v>
      </c>
      <c r="B26" s="17" t="s">
        <v>117</v>
      </c>
      <c r="C26" s="17" t="s">
        <v>143</v>
      </c>
      <c r="D26" s="17" t="s">
        <v>122</v>
      </c>
      <c r="E26" s="17" t="n">
        <v>1</v>
      </c>
      <c r="F26" s="17" t="n">
        <v>706.8</v>
      </c>
      <c r="G26" s="17" t="n">
        <v>847.9</v>
      </c>
      <c r="H26" s="17" t="n">
        <v>80.9</v>
      </c>
      <c r="I26" s="18" t="n">
        <v>1</v>
      </c>
      <c r="J26" s="19" t="n">
        <v>97.7</v>
      </c>
      <c r="K26" s="19" t="n">
        <v>9.7</v>
      </c>
      <c r="L26" s="19" t="n">
        <v>76.9</v>
      </c>
      <c r="M26" s="19" t="n">
        <v>13.4</v>
      </c>
      <c r="N26" s="19" t="n">
        <v>81.9</v>
      </c>
      <c r="O26" s="19" t="n">
        <v>97.1</v>
      </c>
      <c r="P26" s="20" t="n">
        <v>0.594</v>
      </c>
      <c r="Q26" s="17" t="n">
        <v>0</v>
      </c>
      <c r="R26" s="21"/>
      <c r="S26" s="19" t="n">
        <v>0</v>
      </c>
      <c r="T26" s="17" t="n">
        <v>0</v>
      </c>
      <c r="U26" s="21" t="n">
        <v>6</v>
      </c>
      <c r="V26" s="17" t="n">
        <v>0</v>
      </c>
      <c r="W26" s="17" t="n">
        <v>0</v>
      </c>
      <c r="X26" s="17" t="n">
        <v>0</v>
      </c>
      <c r="Y26" s="19" t="n">
        <v>27.4</v>
      </c>
      <c r="Z26" s="17" t="str">
        <f aca="false">IF(F26&lt;=Constraints!$B$4,"PASS","FAIL")</f>
        <v>PASS</v>
      </c>
      <c r="AA26" s="17" t="str">
        <f aca="false">IF(H26="","PASS",IF(H26&lt;=Constraints!$B$6,"PASS","FAIL"))</f>
        <v>PASS</v>
      </c>
      <c r="AB26" s="17" t="str">
        <f aca="false">IF(I26&gt;=Constraints!$B$7,"PASS","FAIL")</f>
        <v>PASS</v>
      </c>
      <c r="AC26" s="17" t="str">
        <f aca="false">IF(AND(U26&gt;=Constraints!$B$8,V26=0),"PASS","FAIL")</f>
        <v>PASS</v>
      </c>
      <c r="AD26" s="17" t="str">
        <f aca="false">IF(Y26&gt;=Constraints!$B$10-0.000001,"PASS","FAIL")</f>
        <v>PASS</v>
      </c>
      <c r="AE26" s="17" t="str">
        <f aca="false">IF(AND(W26=0,X26=0,G26&lt;=Constraints!$B$5),"PASS","FAIL")</f>
        <v>PASS</v>
      </c>
      <c r="AF26" s="22" t="str">
        <f aca="false">IF(COUNTIF(Z26:AE26,"FAIL")=0,"PASS","FAIL")</f>
        <v>PASS</v>
      </c>
      <c r="AG26" s="23" t="s">
        <v>120</v>
      </c>
    </row>
    <row r="27" customFormat="false" ht="15" hidden="false" customHeight="false" outlineLevel="0" collapsed="false">
      <c r="A27" s="17" t="n">
        <v>24</v>
      </c>
      <c r="B27" s="17" t="s">
        <v>117</v>
      </c>
      <c r="C27" s="17" t="s">
        <v>144</v>
      </c>
      <c r="D27" s="17" t="s">
        <v>122</v>
      </c>
      <c r="E27" s="17" t="n">
        <v>1</v>
      </c>
      <c r="F27" s="17" t="n">
        <v>745.9</v>
      </c>
      <c r="G27" s="17" t="n">
        <v>848.4</v>
      </c>
      <c r="H27" s="17" t="n">
        <v>115.7</v>
      </c>
      <c r="I27" s="18" t="n">
        <v>1</v>
      </c>
      <c r="J27" s="19" t="n">
        <v>93.7</v>
      </c>
      <c r="K27" s="19" t="n">
        <v>23</v>
      </c>
      <c r="L27" s="19" t="n">
        <v>57.1</v>
      </c>
      <c r="M27" s="19" t="n">
        <v>20</v>
      </c>
      <c r="N27" s="19" t="n">
        <v>180.8</v>
      </c>
      <c r="O27" s="19" t="n">
        <v>94.3</v>
      </c>
      <c r="P27" s="20" t="n">
        <v>0.596</v>
      </c>
      <c r="Q27" s="17" t="n">
        <v>0</v>
      </c>
      <c r="R27" s="21"/>
      <c r="S27" s="19" t="n">
        <v>0</v>
      </c>
      <c r="T27" s="17" t="n">
        <v>1</v>
      </c>
      <c r="U27" s="21" t="n">
        <v>6</v>
      </c>
      <c r="V27" s="17" t="n">
        <v>0</v>
      </c>
      <c r="W27" s="17" t="n">
        <v>0</v>
      </c>
      <c r="X27" s="17" t="n">
        <v>0</v>
      </c>
      <c r="Y27" s="19" t="n">
        <v>25.3</v>
      </c>
      <c r="Z27" s="17" t="str">
        <f aca="false">IF(F27&lt;=Constraints!$B$4,"PASS","FAIL")</f>
        <v>PASS</v>
      </c>
      <c r="AA27" s="17" t="str">
        <f aca="false">IF(H27="","PASS",IF(H27&lt;=Constraints!$B$6,"PASS","FAIL"))</f>
        <v>PASS</v>
      </c>
      <c r="AB27" s="17" t="str">
        <f aca="false">IF(I27&gt;=Constraints!$B$7,"PASS","FAIL")</f>
        <v>PASS</v>
      </c>
      <c r="AC27" s="17" t="str">
        <f aca="false">IF(AND(U27&gt;=Constraints!$B$8,V27=0),"PASS","FAIL")</f>
        <v>PASS</v>
      </c>
      <c r="AD27" s="17" t="str">
        <f aca="false">IF(Y27&gt;=Constraints!$B$10-0.000001,"PASS","FAIL")</f>
        <v>PASS</v>
      </c>
      <c r="AE27" s="17" t="str">
        <f aca="false">IF(AND(W27=0,X27=0,G27&lt;=Constraints!$B$5),"PASS","FAIL")</f>
        <v>PASS</v>
      </c>
      <c r="AF27" s="22" t="str">
        <f aca="false">IF(COUNTIF(Z27:AE27,"FAIL")=0,"PASS","FAIL")</f>
        <v>PASS</v>
      </c>
      <c r="AG27" s="23" t="s">
        <v>120</v>
      </c>
    </row>
    <row r="28" customFormat="false" ht="15" hidden="false" customHeight="false" outlineLevel="0" collapsed="false">
      <c r="A28" s="17" t="n">
        <v>25</v>
      </c>
      <c r="B28" s="17" t="s">
        <v>117</v>
      </c>
      <c r="C28" s="17" t="s">
        <v>145</v>
      </c>
      <c r="D28" s="17" t="s">
        <v>119</v>
      </c>
      <c r="E28" s="17" t="n">
        <v>3</v>
      </c>
      <c r="F28" s="17" t="n">
        <v>538.6</v>
      </c>
      <c r="G28" s="17" t="n">
        <v>683.3</v>
      </c>
      <c r="H28" s="17" t="n">
        <v>37.1</v>
      </c>
      <c r="I28" s="18" t="n">
        <v>1</v>
      </c>
      <c r="J28" s="19" t="n">
        <v>92.8</v>
      </c>
      <c r="K28" s="19" t="n">
        <v>21.2</v>
      </c>
      <c r="L28" s="19" t="n">
        <v>62.1</v>
      </c>
      <c r="M28" s="19" t="n">
        <v>16.7</v>
      </c>
      <c r="N28" s="19" t="n">
        <v>201.3</v>
      </c>
      <c r="O28" s="19" t="n">
        <v>93.4</v>
      </c>
      <c r="P28" s="20" t="n">
        <v>0.621</v>
      </c>
      <c r="Q28" s="17" t="n">
        <v>0</v>
      </c>
      <c r="R28" s="21"/>
      <c r="S28" s="19" t="n">
        <v>0</v>
      </c>
      <c r="T28" s="17" t="n">
        <v>0</v>
      </c>
      <c r="U28" s="21" t="n">
        <v>6</v>
      </c>
      <c r="V28" s="17" t="n">
        <v>0</v>
      </c>
      <c r="W28" s="17" t="n">
        <v>0</v>
      </c>
      <c r="X28" s="17" t="n">
        <v>0</v>
      </c>
      <c r="Y28" s="19" t="n">
        <v>30.7</v>
      </c>
      <c r="Z28" s="17" t="str">
        <f aca="false">IF(F28&lt;=Constraints!$B$4,"PASS","FAIL")</f>
        <v>PASS</v>
      </c>
      <c r="AA28" s="17" t="str">
        <f aca="false">IF(H28="","PASS",IF(H28&lt;=Constraints!$B$6,"PASS","FAIL"))</f>
        <v>PASS</v>
      </c>
      <c r="AB28" s="17" t="str">
        <f aca="false">IF(I28&gt;=Constraints!$B$7,"PASS","FAIL")</f>
        <v>PASS</v>
      </c>
      <c r="AC28" s="17" t="str">
        <f aca="false">IF(AND(U28&gt;=Constraints!$B$8,V28=0),"PASS","FAIL")</f>
        <v>PASS</v>
      </c>
      <c r="AD28" s="17" t="str">
        <f aca="false">IF(Y28&gt;=Constraints!$B$10-0.000001,"PASS","FAIL")</f>
        <v>PASS</v>
      </c>
      <c r="AE28" s="17" t="str">
        <f aca="false">IF(AND(W28=0,X28=0,G28&lt;=Constraints!$B$5),"PASS","FAIL")</f>
        <v>PASS</v>
      </c>
      <c r="AF28" s="22" t="str">
        <f aca="false">IF(COUNTIF(Z28:AE28,"FAIL")=0,"PASS","FAIL")</f>
        <v>PASS</v>
      </c>
      <c r="AG28" s="23" t="s">
        <v>120</v>
      </c>
    </row>
    <row r="29" customFormat="false" ht="15" hidden="false" customHeight="false" outlineLevel="0" collapsed="false">
      <c r="A29" s="17" t="n">
        <v>26</v>
      </c>
      <c r="B29" s="17" t="s">
        <v>117</v>
      </c>
      <c r="C29" s="17" t="s">
        <v>146</v>
      </c>
      <c r="D29" s="17" t="s">
        <v>119</v>
      </c>
      <c r="E29" s="17" t="n">
        <v>2</v>
      </c>
      <c r="F29" s="17" t="n">
        <v>386</v>
      </c>
      <c r="G29" s="17" t="n">
        <v>482.9</v>
      </c>
      <c r="H29" s="17" t="n">
        <v>79.9</v>
      </c>
      <c r="I29" s="18" t="n">
        <v>1</v>
      </c>
      <c r="J29" s="19" t="n">
        <v>91.6</v>
      </c>
      <c r="K29" s="19" t="n">
        <v>30.3</v>
      </c>
      <c r="L29" s="19" t="n">
        <v>35.9</v>
      </c>
      <c r="M29" s="19" t="n">
        <v>33.8</v>
      </c>
      <c r="N29" s="19" t="n">
        <v>141.4</v>
      </c>
      <c r="O29" s="19" t="n">
        <v>93.5</v>
      </c>
      <c r="P29" s="20" t="n">
        <v>0.655</v>
      </c>
      <c r="Q29" s="17" t="n">
        <v>0</v>
      </c>
      <c r="R29" s="21"/>
      <c r="S29" s="19" t="n">
        <v>0</v>
      </c>
      <c r="T29" s="17" t="n">
        <v>0</v>
      </c>
      <c r="U29" s="21" t="n">
        <v>6</v>
      </c>
      <c r="V29" s="17" t="n">
        <v>0</v>
      </c>
      <c r="W29" s="17" t="n">
        <v>0</v>
      </c>
      <c r="X29" s="17" t="n">
        <v>0</v>
      </c>
      <c r="Y29" s="19" t="n">
        <v>35</v>
      </c>
      <c r="Z29" s="17" t="str">
        <f aca="false">IF(F29&lt;=Constraints!$B$4,"PASS","FAIL")</f>
        <v>PASS</v>
      </c>
      <c r="AA29" s="17" t="str">
        <f aca="false">IF(H29="","PASS",IF(H29&lt;=Constraints!$B$6,"PASS","FAIL"))</f>
        <v>PASS</v>
      </c>
      <c r="AB29" s="17" t="str">
        <f aca="false">IF(I29&gt;=Constraints!$B$7,"PASS","FAIL")</f>
        <v>PASS</v>
      </c>
      <c r="AC29" s="17" t="str">
        <f aca="false">IF(AND(U29&gt;=Constraints!$B$8,V29=0),"PASS","FAIL")</f>
        <v>PASS</v>
      </c>
      <c r="AD29" s="17" t="str">
        <f aca="false">IF(Y29&gt;=Constraints!$B$10-0.000001,"PASS","FAIL")</f>
        <v>PASS</v>
      </c>
      <c r="AE29" s="17" t="str">
        <f aca="false">IF(AND(W29=0,X29=0,G29&lt;=Constraints!$B$5),"PASS","FAIL")</f>
        <v>PASS</v>
      </c>
      <c r="AF29" s="22" t="str">
        <f aca="false">IF(COUNTIF(Z29:AE29,"FAIL")=0,"PASS","FAIL")</f>
        <v>PASS</v>
      </c>
      <c r="AG29" s="23" t="s">
        <v>120</v>
      </c>
    </row>
    <row r="30" customFormat="false" ht="15" hidden="false" customHeight="false" outlineLevel="0" collapsed="false">
      <c r="A30" s="17" t="n">
        <v>27</v>
      </c>
      <c r="B30" s="17" t="s">
        <v>117</v>
      </c>
      <c r="C30" s="17" t="s">
        <v>147</v>
      </c>
      <c r="D30" s="17" t="s">
        <v>122</v>
      </c>
      <c r="E30" s="17" t="n">
        <v>3</v>
      </c>
      <c r="F30" s="17" t="n">
        <v>467.9</v>
      </c>
      <c r="G30" s="17" t="n">
        <v>565.9</v>
      </c>
      <c r="H30" s="17" t="n">
        <v>85.4</v>
      </c>
      <c r="I30" s="18" t="n">
        <v>1</v>
      </c>
      <c r="J30" s="19" t="n">
        <v>90.9</v>
      </c>
      <c r="K30" s="19" t="n">
        <v>22.6</v>
      </c>
      <c r="L30" s="19" t="n">
        <v>49.6</v>
      </c>
      <c r="M30" s="19" t="n">
        <v>27.8</v>
      </c>
      <c r="N30" s="19" t="n">
        <v>189.6</v>
      </c>
      <c r="O30" s="19" t="n">
        <v>91.9</v>
      </c>
      <c r="P30" s="20" t="n">
        <v>0.625</v>
      </c>
      <c r="Q30" s="17" t="n">
        <v>4</v>
      </c>
      <c r="R30" s="21" t="n">
        <v>30.34</v>
      </c>
      <c r="S30" s="19" t="n">
        <v>100.4</v>
      </c>
      <c r="T30" s="17" t="n">
        <v>0</v>
      </c>
      <c r="U30" s="21" t="n">
        <v>6</v>
      </c>
      <c r="V30" s="17" t="n">
        <v>0</v>
      </c>
      <c r="W30" s="17" t="n">
        <v>0</v>
      </c>
      <c r="X30" s="17" t="n">
        <v>0</v>
      </c>
      <c r="Y30" s="19" t="n">
        <v>33.4</v>
      </c>
      <c r="Z30" s="17" t="str">
        <f aca="false">IF(F30&lt;=Constraints!$B$4,"PASS","FAIL")</f>
        <v>PASS</v>
      </c>
      <c r="AA30" s="17" t="str">
        <f aca="false">IF(H30="","PASS",IF(H30&lt;=Constraints!$B$6,"PASS","FAIL"))</f>
        <v>PASS</v>
      </c>
      <c r="AB30" s="17" t="str">
        <f aca="false">IF(I30&gt;=Constraints!$B$7,"PASS","FAIL")</f>
        <v>PASS</v>
      </c>
      <c r="AC30" s="17" t="str">
        <f aca="false">IF(AND(U30&gt;=Constraints!$B$8,V30=0),"PASS","FAIL")</f>
        <v>PASS</v>
      </c>
      <c r="AD30" s="17" t="str">
        <f aca="false">IF(Y30&gt;=Constraints!$B$10-0.000001,"PASS","FAIL")</f>
        <v>PASS</v>
      </c>
      <c r="AE30" s="17" t="str">
        <f aca="false">IF(AND(W30=0,X30=0,G30&lt;=Constraints!$B$5),"PASS","FAIL")</f>
        <v>PASS</v>
      </c>
      <c r="AF30" s="22" t="str">
        <f aca="false">IF(COUNTIF(Z30:AE30,"FAIL")=0,"PASS","FAIL")</f>
        <v>PASS</v>
      </c>
      <c r="AG30" s="23" t="s">
        <v>120</v>
      </c>
    </row>
    <row r="31" customFormat="false" ht="15" hidden="false" customHeight="false" outlineLevel="0" collapsed="false">
      <c r="A31" s="17" t="n">
        <v>28</v>
      </c>
      <c r="B31" s="17" t="s">
        <v>117</v>
      </c>
      <c r="C31" s="17" t="s">
        <v>148</v>
      </c>
      <c r="D31" s="17" t="s">
        <v>119</v>
      </c>
      <c r="E31" s="17" t="n">
        <v>1</v>
      </c>
      <c r="F31" s="17" t="n">
        <v>760.3</v>
      </c>
      <c r="G31" s="17" t="n">
        <v>861.8</v>
      </c>
      <c r="H31" s="17" t="n">
        <v>104.7</v>
      </c>
      <c r="I31" s="18" t="n">
        <v>1</v>
      </c>
      <c r="J31" s="19" t="n">
        <v>94.5</v>
      </c>
      <c r="K31" s="19" t="n">
        <v>22.1</v>
      </c>
      <c r="L31" s="19" t="n">
        <v>56.1</v>
      </c>
      <c r="M31" s="19" t="n">
        <v>21.8</v>
      </c>
      <c r="N31" s="19" t="n">
        <v>176.9</v>
      </c>
      <c r="O31" s="19" t="n">
        <v>95.4</v>
      </c>
      <c r="P31" s="20" t="n">
        <v>0.58</v>
      </c>
      <c r="Q31" s="17" t="n">
        <v>0</v>
      </c>
      <c r="R31" s="21"/>
      <c r="S31" s="19" t="n">
        <v>0</v>
      </c>
      <c r="T31" s="17" t="n">
        <v>1</v>
      </c>
      <c r="U31" s="21" t="n">
        <v>6</v>
      </c>
      <c r="V31" s="17" t="n">
        <v>0</v>
      </c>
      <c r="W31" s="17" t="n">
        <v>0</v>
      </c>
      <c r="X31" s="17" t="n">
        <v>0</v>
      </c>
      <c r="Y31" s="19" t="n">
        <v>25.2</v>
      </c>
      <c r="Z31" s="17" t="str">
        <f aca="false">IF(F31&lt;=Constraints!$B$4,"PASS","FAIL")</f>
        <v>PASS</v>
      </c>
      <c r="AA31" s="17" t="str">
        <f aca="false">IF(H31="","PASS",IF(H31&lt;=Constraints!$B$6,"PASS","FAIL"))</f>
        <v>PASS</v>
      </c>
      <c r="AB31" s="17" t="str">
        <f aca="false">IF(I31&gt;=Constraints!$B$7,"PASS","FAIL")</f>
        <v>PASS</v>
      </c>
      <c r="AC31" s="17" t="str">
        <f aca="false">IF(AND(U31&gt;=Constraints!$B$8,V31=0),"PASS","FAIL")</f>
        <v>PASS</v>
      </c>
      <c r="AD31" s="17" t="str">
        <f aca="false">IF(Y31&gt;=Constraints!$B$10-0.000001,"PASS","FAIL")</f>
        <v>PASS</v>
      </c>
      <c r="AE31" s="17" t="str">
        <f aca="false">IF(AND(W31=0,X31=0,G31&lt;=Constraints!$B$5),"PASS","FAIL")</f>
        <v>PASS</v>
      </c>
      <c r="AF31" s="22" t="str">
        <f aca="false">IF(COUNTIF(Z31:AE31,"FAIL")=0,"PASS","FAIL")</f>
        <v>PASS</v>
      </c>
      <c r="AG31" s="23" t="s">
        <v>120</v>
      </c>
    </row>
    <row r="32" customFormat="false" ht="15" hidden="false" customHeight="false" outlineLevel="0" collapsed="false">
      <c r="A32" s="17" t="n">
        <v>29</v>
      </c>
      <c r="B32" s="17" t="s">
        <v>117</v>
      </c>
      <c r="C32" s="17" t="s">
        <v>149</v>
      </c>
      <c r="D32" s="17" t="s">
        <v>122</v>
      </c>
      <c r="E32" s="17" t="n">
        <v>1</v>
      </c>
      <c r="F32" s="17" t="n">
        <v>678.3</v>
      </c>
      <c r="G32" s="17" t="n">
        <v>811.9</v>
      </c>
      <c r="H32" s="17" t="n">
        <v>145.6</v>
      </c>
      <c r="I32" s="18" t="n">
        <v>1</v>
      </c>
      <c r="J32" s="19" t="n">
        <v>97.4</v>
      </c>
      <c r="K32" s="19" t="n">
        <v>10.3</v>
      </c>
      <c r="L32" s="19" t="n">
        <v>72.5</v>
      </c>
      <c r="M32" s="19" t="n">
        <v>17.2</v>
      </c>
      <c r="N32" s="19" t="n">
        <v>77.6</v>
      </c>
      <c r="O32" s="19" t="n">
        <v>97.1</v>
      </c>
      <c r="P32" s="20" t="n">
        <v>0.604</v>
      </c>
      <c r="Q32" s="17" t="n">
        <v>0</v>
      </c>
      <c r="R32" s="21"/>
      <c r="S32" s="19" t="n">
        <v>0</v>
      </c>
      <c r="T32" s="17" t="n">
        <v>0</v>
      </c>
      <c r="U32" s="21" t="n">
        <v>6</v>
      </c>
      <c r="V32" s="17" t="n">
        <v>0</v>
      </c>
      <c r="W32" s="17" t="n">
        <v>0</v>
      </c>
      <c r="X32" s="17" t="n">
        <v>0</v>
      </c>
      <c r="Y32" s="19" t="n">
        <v>27.4</v>
      </c>
      <c r="Z32" s="17" t="str">
        <f aca="false">IF(F32&lt;=Constraints!$B$4,"PASS","FAIL")</f>
        <v>PASS</v>
      </c>
      <c r="AA32" s="17" t="str">
        <f aca="false">IF(H32="","PASS",IF(H32&lt;=Constraints!$B$6,"PASS","FAIL"))</f>
        <v>PASS</v>
      </c>
      <c r="AB32" s="17" t="str">
        <f aca="false">IF(I32&gt;=Constraints!$B$7,"PASS","FAIL")</f>
        <v>PASS</v>
      </c>
      <c r="AC32" s="17" t="str">
        <f aca="false">IF(AND(U32&gt;=Constraints!$B$8,V32=0),"PASS","FAIL")</f>
        <v>PASS</v>
      </c>
      <c r="AD32" s="17" t="str">
        <f aca="false">IF(Y32&gt;=Constraints!$B$10-0.000001,"PASS","FAIL")</f>
        <v>PASS</v>
      </c>
      <c r="AE32" s="17" t="str">
        <f aca="false">IF(AND(W32=0,X32=0,G32&lt;=Constraints!$B$5),"PASS","FAIL")</f>
        <v>PASS</v>
      </c>
      <c r="AF32" s="22" t="str">
        <f aca="false">IF(COUNTIF(Z32:AE32,"FAIL")=0,"PASS","FAIL")</f>
        <v>PASS</v>
      </c>
      <c r="AG32" s="23" t="s">
        <v>120</v>
      </c>
    </row>
    <row r="33" customFormat="false" ht="15" hidden="false" customHeight="false" outlineLevel="0" collapsed="false">
      <c r="A33" s="17" t="n">
        <v>30</v>
      </c>
      <c r="B33" s="17" t="s">
        <v>117</v>
      </c>
      <c r="C33" s="17" t="s">
        <v>150</v>
      </c>
      <c r="D33" s="17" t="s">
        <v>122</v>
      </c>
      <c r="E33" s="17" t="n">
        <v>4</v>
      </c>
      <c r="F33" s="17" t="n">
        <v>531.9</v>
      </c>
      <c r="G33" s="17" t="n">
        <v>667.3</v>
      </c>
      <c r="H33" s="17" t="n">
        <v>127.9</v>
      </c>
      <c r="I33" s="18" t="n">
        <v>1</v>
      </c>
      <c r="J33" s="19" t="n">
        <v>90.7</v>
      </c>
      <c r="K33" s="19" t="n">
        <v>16.5</v>
      </c>
      <c r="L33" s="19" t="n">
        <v>64.3</v>
      </c>
      <c r="M33" s="19" t="n">
        <v>19.2</v>
      </c>
      <c r="N33" s="19" t="n">
        <v>248.3</v>
      </c>
      <c r="O33" s="19" t="n">
        <v>90.7</v>
      </c>
      <c r="P33" s="20" t="n">
        <v>0.655</v>
      </c>
      <c r="Q33" s="17" t="n">
        <v>4</v>
      </c>
      <c r="R33" s="21" t="n">
        <v>37.06</v>
      </c>
      <c r="S33" s="19" t="n">
        <v>127.7</v>
      </c>
      <c r="T33" s="17" t="n">
        <v>0</v>
      </c>
      <c r="U33" s="21" t="n">
        <v>6.01</v>
      </c>
      <c r="V33" s="17" t="n">
        <v>0</v>
      </c>
      <c r="W33" s="17" t="n">
        <v>0</v>
      </c>
      <c r="X33" s="17" t="n">
        <v>0</v>
      </c>
      <c r="Y33" s="19" t="n">
        <v>31.2</v>
      </c>
      <c r="Z33" s="17" t="str">
        <f aca="false">IF(F33&lt;=Constraints!$B$4,"PASS","FAIL")</f>
        <v>PASS</v>
      </c>
      <c r="AA33" s="17" t="str">
        <f aca="false">IF(H33="","PASS",IF(H33&lt;=Constraints!$B$6,"PASS","FAIL"))</f>
        <v>PASS</v>
      </c>
      <c r="AB33" s="17" t="str">
        <f aca="false">IF(I33&gt;=Constraints!$B$7,"PASS","FAIL")</f>
        <v>PASS</v>
      </c>
      <c r="AC33" s="17" t="str">
        <f aca="false">IF(AND(U33&gt;=Constraints!$B$8,V33=0),"PASS","FAIL")</f>
        <v>PASS</v>
      </c>
      <c r="AD33" s="17" t="str">
        <f aca="false">IF(Y33&gt;=Constraints!$B$10-0.000001,"PASS","FAIL")</f>
        <v>PASS</v>
      </c>
      <c r="AE33" s="17" t="str">
        <f aca="false">IF(AND(W33=0,X33=0,G33&lt;=Constraints!$B$5),"PASS","FAIL")</f>
        <v>PASS</v>
      </c>
      <c r="AF33" s="22" t="str">
        <f aca="false">IF(COUNTIF(Z33:AE33,"FAIL")=0,"PASS","FAIL")</f>
        <v>PASS</v>
      </c>
      <c r="AG33" s="23" t="s">
        <v>120</v>
      </c>
    </row>
    <row r="34" customFormat="false" ht="15" hidden="false" customHeight="false" outlineLevel="0" collapsed="false">
      <c r="A34" s="17" t="n">
        <v>31</v>
      </c>
      <c r="B34" s="17" t="s">
        <v>151</v>
      </c>
      <c r="C34" s="17" t="s">
        <v>152</v>
      </c>
      <c r="D34" s="17" t="s">
        <v>119</v>
      </c>
      <c r="E34" s="17" t="n">
        <v>1</v>
      </c>
      <c r="F34" s="17" t="n">
        <v>532.7</v>
      </c>
      <c r="G34" s="17" t="n">
        <v>672.1</v>
      </c>
      <c r="H34" s="17" t="n">
        <v>23.3</v>
      </c>
      <c r="I34" s="18" t="n">
        <v>1</v>
      </c>
      <c r="J34" s="19" t="n">
        <v>97.7</v>
      </c>
      <c r="K34" s="19" t="n">
        <v>9.3</v>
      </c>
      <c r="L34" s="19" t="n">
        <v>68.8</v>
      </c>
      <c r="M34" s="19" t="n">
        <v>22</v>
      </c>
      <c r="N34" s="19" t="n">
        <v>56.7</v>
      </c>
      <c r="O34" s="19" t="n">
        <v>98.1</v>
      </c>
      <c r="P34" s="20" t="n">
        <v>0.606</v>
      </c>
      <c r="Q34" s="17" t="n">
        <v>0</v>
      </c>
      <c r="R34" s="21"/>
      <c r="S34" s="19" t="n">
        <v>0</v>
      </c>
      <c r="T34" s="17" t="n">
        <v>0</v>
      </c>
      <c r="U34" s="21" t="n">
        <v>6</v>
      </c>
      <c r="V34" s="17" t="n">
        <v>0</v>
      </c>
      <c r="W34" s="17" t="n">
        <v>0</v>
      </c>
      <c r="X34" s="17" t="n">
        <v>0</v>
      </c>
      <c r="Y34" s="19" t="n">
        <v>27.9</v>
      </c>
      <c r="Z34" s="17" t="str">
        <f aca="false">IF(F34&lt;=Constraints!$B$4,"PASS","FAIL")</f>
        <v>PASS</v>
      </c>
      <c r="AA34" s="17" t="str">
        <f aca="false">IF(H34="","PASS",IF(H34&lt;=Constraints!$B$6,"PASS","FAIL"))</f>
        <v>PASS</v>
      </c>
      <c r="AB34" s="17" t="str">
        <f aca="false">IF(I34&gt;=Constraints!$B$7,"PASS","FAIL")</f>
        <v>PASS</v>
      </c>
      <c r="AC34" s="17" t="str">
        <f aca="false">IF(AND(U34&gt;=Constraints!$B$8,V34=0),"PASS","FAIL")</f>
        <v>PASS</v>
      </c>
      <c r="AD34" s="17" t="str">
        <f aca="false">IF(Y34&gt;=Constraints!$B$10-0.000001,"PASS","FAIL")</f>
        <v>PASS</v>
      </c>
      <c r="AE34" s="17" t="str">
        <f aca="false">IF(AND(W34=0,X34=0,G34&lt;=Constraints!$B$5),"PASS","FAIL")</f>
        <v>PASS</v>
      </c>
      <c r="AF34" s="22" t="str">
        <f aca="false">IF(COUNTIF(Z34:AE34,"FAIL")=0,"PASS","FAIL")</f>
        <v>PASS</v>
      </c>
      <c r="AG34" s="23" t="s">
        <v>120</v>
      </c>
    </row>
    <row r="35" customFormat="false" ht="15" hidden="false" customHeight="false" outlineLevel="0" collapsed="false">
      <c r="A35" s="17" t="n">
        <v>32</v>
      </c>
      <c r="B35" s="17" t="s">
        <v>151</v>
      </c>
      <c r="C35" s="17" t="s">
        <v>153</v>
      </c>
      <c r="D35" s="17" t="s">
        <v>119</v>
      </c>
      <c r="E35" s="17" t="n">
        <v>4</v>
      </c>
      <c r="F35" s="17" t="n">
        <v>699.9</v>
      </c>
      <c r="G35" s="17" t="n">
        <v>844.4</v>
      </c>
      <c r="H35" s="17" t="n">
        <v>108.6</v>
      </c>
      <c r="I35" s="18" t="n">
        <v>1</v>
      </c>
      <c r="J35" s="19" t="n">
        <v>92.4</v>
      </c>
      <c r="K35" s="19" t="n">
        <v>20.8</v>
      </c>
      <c r="L35" s="19" t="n">
        <v>64.8</v>
      </c>
      <c r="M35" s="19" t="n">
        <v>14.4</v>
      </c>
      <c r="N35" s="19" t="n">
        <v>240.3</v>
      </c>
      <c r="O35" s="19" t="n">
        <v>94.1</v>
      </c>
      <c r="P35" s="20" t="n">
        <v>0.617</v>
      </c>
      <c r="Q35" s="17" t="n">
        <v>0</v>
      </c>
      <c r="R35" s="21"/>
      <c r="S35" s="19" t="n">
        <v>0</v>
      </c>
      <c r="T35" s="17" t="n">
        <v>1</v>
      </c>
      <c r="U35" s="21" t="n">
        <v>6</v>
      </c>
      <c r="V35" s="17" t="n">
        <v>0</v>
      </c>
      <c r="W35" s="17" t="n">
        <v>0</v>
      </c>
      <c r="X35" s="17" t="n">
        <v>0</v>
      </c>
      <c r="Y35" s="19" t="n">
        <v>22.5</v>
      </c>
      <c r="Z35" s="17" t="str">
        <f aca="false">IF(F35&lt;=Constraints!$B$4,"PASS","FAIL")</f>
        <v>PASS</v>
      </c>
      <c r="AA35" s="17" t="str">
        <f aca="false">IF(H35="","PASS",IF(H35&lt;=Constraints!$B$6,"PASS","FAIL"))</f>
        <v>PASS</v>
      </c>
      <c r="AB35" s="17" t="str">
        <f aca="false">IF(I35&gt;=Constraints!$B$7,"PASS","FAIL")</f>
        <v>PASS</v>
      </c>
      <c r="AC35" s="17" t="str">
        <f aca="false">IF(AND(U35&gt;=Constraints!$B$8,V35=0),"PASS","FAIL")</f>
        <v>PASS</v>
      </c>
      <c r="AD35" s="17" t="str">
        <f aca="false">IF(Y35&gt;=Constraints!$B$10-0.000001,"PASS","FAIL")</f>
        <v>PASS</v>
      </c>
      <c r="AE35" s="17" t="str">
        <f aca="false">IF(AND(W35=0,X35=0,G35&lt;=Constraints!$B$5),"PASS","FAIL")</f>
        <v>PASS</v>
      </c>
      <c r="AF35" s="22" t="str">
        <f aca="false">IF(COUNTIF(Z35:AE35,"FAIL")=0,"PASS","FAIL")</f>
        <v>PASS</v>
      </c>
      <c r="AG35" s="23" t="s">
        <v>120</v>
      </c>
    </row>
    <row r="36" customFormat="false" ht="15" hidden="false" customHeight="false" outlineLevel="0" collapsed="false">
      <c r="A36" s="17" t="n">
        <v>33</v>
      </c>
      <c r="B36" s="17" t="s">
        <v>151</v>
      </c>
      <c r="C36" s="17" t="s">
        <v>154</v>
      </c>
      <c r="D36" s="17" t="s">
        <v>119</v>
      </c>
      <c r="E36" s="17" t="n">
        <v>3</v>
      </c>
      <c r="F36" s="17" t="n">
        <v>508.8</v>
      </c>
      <c r="G36" s="17" t="n">
        <v>652.2</v>
      </c>
      <c r="H36" s="17" t="n">
        <v>178.8</v>
      </c>
      <c r="I36" s="18" t="n">
        <v>1</v>
      </c>
      <c r="J36" s="19" t="n">
        <v>93.1</v>
      </c>
      <c r="K36" s="19" t="n">
        <v>16.6</v>
      </c>
      <c r="L36" s="19" t="n">
        <v>60.9</v>
      </c>
      <c r="M36" s="19" t="n">
        <v>22.6</v>
      </c>
      <c r="N36" s="19" t="n">
        <v>163.6</v>
      </c>
      <c r="O36" s="19" t="n">
        <v>94.7</v>
      </c>
      <c r="P36" s="20" t="n">
        <v>0.642</v>
      </c>
      <c r="Q36" s="17" t="n">
        <v>0</v>
      </c>
      <c r="R36" s="21"/>
      <c r="S36" s="19" t="n">
        <v>0</v>
      </c>
      <c r="T36" s="17" t="n">
        <v>0</v>
      </c>
      <c r="U36" s="21" t="n">
        <v>6</v>
      </c>
      <c r="V36" s="17" t="n">
        <v>0</v>
      </c>
      <c r="W36" s="17" t="n">
        <v>0</v>
      </c>
      <c r="X36" s="17" t="n">
        <v>0</v>
      </c>
      <c r="Y36" s="19" t="n">
        <v>27.6</v>
      </c>
      <c r="Z36" s="17" t="str">
        <f aca="false">IF(F36&lt;=Constraints!$B$4,"PASS","FAIL")</f>
        <v>PASS</v>
      </c>
      <c r="AA36" s="17" t="str">
        <f aca="false">IF(H36="","PASS",IF(H36&lt;=Constraints!$B$6,"PASS","FAIL"))</f>
        <v>PASS</v>
      </c>
      <c r="AB36" s="17" t="str">
        <f aca="false">IF(I36&gt;=Constraints!$B$7,"PASS","FAIL")</f>
        <v>PASS</v>
      </c>
      <c r="AC36" s="17" t="str">
        <f aca="false">IF(AND(U36&gt;=Constraints!$B$8,V36=0),"PASS","FAIL")</f>
        <v>PASS</v>
      </c>
      <c r="AD36" s="17" t="str">
        <f aca="false">IF(Y36&gt;=Constraints!$B$10-0.000001,"PASS","FAIL")</f>
        <v>PASS</v>
      </c>
      <c r="AE36" s="17" t="str">
        <f aca="false">IF(AND(W36=0,X36=0,G36&lt;=Constraints!$B$5),"PASS","FAIL")</f>
        <v>PASS</v>
      </c>
      <c r="AF36" s="22" t="str">
        <f aca="false">IF(COUNTIF(Z36:AE36,"FAIL")=0,"PASS","FAIL")</f>
        <v>PASS</v>
      </c>
      <c r="AG36" s="23" t="s">
        <v>120</v>
      </c>
    </row>
    <row r="37" customFormat="false" ht="15" hidden="false" customHeight="false" outlineLevel="0" collapsed="false">
      <c r="A37" s="17" t="n">
        <v>34</v>
      </c>
      <c r="B37" s="17" t="s">
        <v>151</v>
      </c>
      <c r="C37" s="17" t="s">
        <v>155</v>
      </c>
      <c r="D37" s="17" t="s">
        <v>119</v>
      </c>
      <c r="E37" s="17" t="n">
        <v>4</v>
      </c>
      <c r="F37" s="17" t="n">
        <v>566.8</v>
      </c>
      <c r="G37" s="17" t="n">
        <v>668.7</v>
      </c>
      <c r="H37" s="17" t="n">
        <v>98.4</v>
      </c>
      <c r="I37" s="18" t="n">
        <v>1</v>
      </c>
      <c r="J37" s="19" t="n">
        <v>97</v>
      </c>
      <c r="K37" s="19" t="n">
        <v>11.5</v>
      </c>
      <c r="L37" s="19" t="n">
        <v>62.9</v>
      </c>
      <c r="M37" s="19" t="n">
        <v>25.6</v>
      </c>
      <c r="N37" s="19" t="n">
        <v>76.5</v>
      </c>
      <c r="O37" s="19" t="n">
        <v>97.5</v>
      </c>
      <c r="P37" s="20" t="n">
        <v>0.609</v>
      </c>
      <c r="Q37" s="17" t="n">
        <v>0</v>
      </c>
      <c r="R37" s="21"/>
      <c r="S37" s="19" t="n">
        <v>0</v>
      </c>
      <c r="T37" s="17" t="n">
        <v>1</v>
      </c>
      <c r="U37" s="21" t="n">
        <v>6.3</v>
      </c>
      <c r="V37" s="17" t="n">
        <v>0</v>
      </c>
      <c r="W37" s="17" t="n">
        <v>0</v>
      </c>
      <c r="X37" s="17" t="n">
        <v>0</v>
      </c>
      <c r="Y37" s="19" t="n">
        <v>21.9</v>
      </c>
      <c r="Z37" s="17" t="str">
        <f aca="false">IF(F37&lt;=Constraints!$B$4,"PASS","FAIL")</f>
        <v>PASS</v>
      </c>
      <c r="AA37" s="17" t="str">
        <f aca="false">IF(H37="","PASS",IF(H37&lt;=Constraints!$B$6,"PASS","FAIL"))</f>
        <v>PASS</v>
      </c>
      <c r="AB37" s="17" t="str">
        <f aca="false">IF(I37&gt;=Constraints!$B$7,"PASS","FAIL")</f>
        <v>PASS</v>
      </c>
      <c r="AC37" s="17" t="str">
        <f aca="false">IF(AND(U37&gt;=Constraints!$B$8,V37=0),"PASS","FAIL")</f>
        <v>PASS</v>
      </c>
      <c r="AD37" s="17" t="str">
        <f aca="false">IF(Y37&gt;=Constraints!$B$10-0.000001,"PASS","FAIL")</f>
        <v>PASS</v>
      </c>
      <c r="AE37" s="17" t="str">
        <f aca="false">IF(AND(W37=0,X37=0,G37&lt;=Constraints!$B$5),"PASS","FAIL")</f>
        <v>PASS</v>
      </c>
      <c r="AF37" s="22" t="str">
        <f aca="false">IF(COUNTIF(Z37:AE37,"FAIL")=0,"PASS","FAIL")</f>
        <v>PASS</v>
      </c>
      <c r="AG37" s="23" t="s">
        <v>120</v>
      </c>
    </row>
    <row r="38" customFormat="false" ht="15" hidden="false" customHeight="false" outlineLevel="0" collapsed="false">
      <c r="A38" s="17" t="n">
        <v>35</v>
      </c>
      <c r="B38" s="17" t="s">
        <v>151</v>
      </c>
      <c r="C38" s="17" t="s">
        <v>156</v>
      </c>
      <c r="D38" s="17" t="s">
        <v>119</v>
      </c>
      <c r="E38" s="17" t="n">
        <v>1</v>
      </c>
      <c r="F38" s="17" t="n">
        <v>468.5</v>
      </c>
      <c r="G38" s="17" t="n">
        <v>606</v>
      </c>
      <c r="H38" s="17" t="n">
        <v>88.8</v>
      </c>
      <c r="I38" s="18" t="n">
        <v>1</v>
      </c>
      <c r="J38" s="19" t="n">
        <v>97</v>
      </c>
      <c r="K38" s="19" t="n">
        <v>11.9</v>
      </c>
      <c r="L38" s="19" t="n">
        <v>59.4</v>
      </c>
      <c r="M38" s="19" t="n">
        <v>28.7</v>
      </c>
      <c r="N38" s="19" t="n">
        <v>65.1</v>
      </c>
      <c r="O38" s="19" t="n">
        <v>97.5</v>
      </c>
      <c r="P38" s="20" t="n">
        <v>0.587</v>
      </c>
      <c r="Q38" s="17" t="n">
        <v>0</v>
      </c>
      <c r="R38" s="21"/>
      <c r="S38" s="19" t="n">
        <v>0</v>
      </c>
      <c r="T38" s="17" t="n">
        <v>0</v>
      </c>
      <c r="U38" s="21" t="n">
        <v>6</v>
      </c>
      <c r="V38" s="17" t="n">
        <v>0</v>
      </c>
      <c r="W38" s="17" t="n">
        <v>0</v>
      </c>
      <c r="X38" s="17" t="n">
        <v>0</v>
      </c>
      <c r="Y38" s="19" t="n">
        <v>37.1</v>
      </c>
      <c r="Z38" s="17" t="str">
        <f aca="false">IF(F38&lt;=Constraints!$B$4,"PASS","FAIL")</f>
        <v>PASS</v>
      </c>
      <c r="AA38" s="17" t="str">
        <f aca="false">IF(H38="","PASS",IF(H38&lt;=Constraints!$B$6,"PASS","FAIL"))</f>
        <v>PASS</v>
      </c>
      <c r="AB38" s="17" t="str">
        <f aca="false">IF(I38&gt;=Constraints!$B$7,"PASS","FAIL")</f>
        <v>PASS</v>
      </c>
      <c r="AC38" s="17" t="str">
        <f aca="false">IF(AND(U38&gt;=Constraints!$B$8,V38=0),"PASS","FAIL")</f>
        <v>PASS</v>
      </c>
      <c r="AD38" s="17" t="str">
        <f aca="false">IF(Y38&gt;=Constraints!$B$10-0.000001,"PASS","FAIL")</f>
        <v>PASS</v>
      </c>
      <c r="AE38" s="17" t="str">
        <f aca="false">IF(AND(W38=0,X38=0,G38&lt;=Constraints!$B$5),"PASS","FAIL")</f>
        <v>PASS</v>
      </c>
      <c r="AF38" s="22" t="str">
        <f aca="false">IF(COUNTIF(Z38:AE38,"FAIL")=0,"PASS","FAIL")</f>
        <v>PASS</v>
      </c>
      <c r="AG38" s="23" t="s">
        <v>120</v>
      </c>
    </row>
    <row r="39" customFormat="false" ht="15" hidden="false" customHeight="false" outlineLevel="0" collapsed="false">
      <c r="A39" s="17" t="n">
        <v>36</v>
      </c>
      <c r="B39" s="17" t="s">
        <v>151</v>
      </c>
      <c r="C39" s="17" t="s">
        <v>157</v>
      </c>
      <c r="D39" s="17" t="s">
        <v>119</v>
      </c>
      <c r="E39" s="17" t="n">
        <v>1</v>
      </c>
      <c r="F39" s="17" t="n">
        <v>624.3</v>
      </c>
      <c r="G39" s="17" t="n">
        <v>750.9</v>
      </c>
      <c r="H39" s="17" t="n">
        <v>112.1</v>
      </c>
      <c r="I39" s="18" t="n">
        <v>1</v>
      </c>
      <c r="J39" s="19" t="n">
        <v>93.3</v>
      </c>
      <c r="K39" s="19" t="n">
        <v>21.5</v>
      </c>
      <c r="L39" s="19" t="n">
        <v>55.8</v>
      </c>
      <c r="M39" s="19" t="n">
        <v>22.7</v>
      </c>
      <c r="N39" s="19" t="n">
        <v>185.2</v>
      </c>
      <c r="O39" s="19" t="n">
        <v>94.3</v>
      </c>
      <c r="P39" s="20" t="n">
        <v>0.586</v>
      </c>
      <c r="Q39" s="17" t="n">
        <v>0</v>
      </c>
      <c r="R39" s="21"/>
      <c r="S39" s="19" t="n">
        <v>0</v>
      </c>
      <c r="T39" s="17" t="n">
        <v>1</v>
      </c>
      <c r="U39" s="21" t="n">
        <v>6</v>
      </c>
      <c r="V39" s="17" t="n">
        <v>0</v>
      </c>
      <c r="W39" s="17" t="n">
        <v>0</v>
      </c>
      <c r="X39" s="17" t="n">
        <v>0</v>
      </c>
      <c r="Y39" s="19" t="n">
        <v>24</v>
      </c>
      <c r="Z39" s="17" t="str">
        <f aca="false">IF(F39&lt;=Constraints!$B$4,"PASS","FAIL")</f>
        <v>PASS</v>
      </c>
      <c r="AA39" s="17" t="str">
        <f aca="false">IF(H39="","PASS",IF(H39&lt;=Constraints!$B$6,"PASS","FAIL"))</f>
        <v>PASS</v>
      </c>
      <c r="AB39" s="17" t="str">
        <f aca="false">IF(I39&gt;=Constraints!$B$7,"PASS","FAIL")</f>
        <v>PASS</v>
      </c>
      <c r="AC39" s="17" t="str">
        <f aca="false">IF(AND(U39&gt;=Constraints!$B$8,V39=0),"PASS","FAIL")</f>
        <v>PASS</v>
      </c>
      <c r="AD39" s="17" t="str">
        <f aca="false">IF(Y39&gt;=Constraints!$B$10-0.000001,"PASS","FAIL")</f>
        <v>PASS</v>
      </c>
      <c r="AE39" s="17" t="str">
        <f aca="false">IF(AND(W39=0,X39=0,G39&lt;=Constraints!$B$5),"PASS","FAIL")</f>
        <v>PASS</v>
      </c>
      <c r="AF39" s="22" t="str">
        <f aca="false">IF(COUNTIF(Z39:AE39,"FAIL")=0,"PASS","FAIL")</f>
        <v>PASS</v>
      </c>
      <c r="AG39" s="23" t="s">
        <v>120</v>
      </c>
    </row>
    <row r="40" customFormat="false" ht="15" hidden="false" customHeight="false" outlineLevel="0" collapsed="false">
      <c r="A40" s="17" t="n">
        <v>37</v>
      </c>
      <c r="B40" s="17" t="s">
        <v>151</v>
      </c>
      <c r="C40" s="17" t="s">
        <v>158</v>
      </c>
      <c r="D40" s="17" t="s">
        <v>122</v>
      </c>
      <c r="E40" s="17" t="n">
        <v>3</v>
      </c>
      <c r="F40" s="17" t="n">
        <v>776.1</v>
      </c>
      <c r="G40" s="17" t="n">
        <v>884.6</v>
      </c>
      <c r="H40" s="17" t="n">
        <v>217.7</v>
      </c>
      <c r="I40" s="18" t="n">
        <v>0.875</v>
      </c>
      <c r="J40" s="19" t="n">
        <v>93.1</v>
      </c>
      <c r="K40" s="19" t="n">
        <v>22.3</v>
      </c>
      <c r="L40" s="19" t="n">
        <v>62.1</v>
      </c>
      <c r="M40" s="19" t="n">
        <v>15.7</v>
      </c>
      <c r="N40" s="19" t="n">
        <v>229.6</v>
      </c>
      <c r="O40" s="19" t="n">
        <v>93.5</v>
      </c>
      <c r="P40" s="20" t="n">
        <v>0.589</v>
      </c>
      <c r="Q40" s="17" t="n">
        <v>3</v>
      </c>
      <c r="R40" s="21" t="n">
        <v>20.74</v>
      </c>
      <c r="S40" s="19" t="n">
        <v>46.3</v>
      </c>
      <c r="T40" s="17" t="n">
        <v>1</v>
      </c>
      <c r="U40" s="21" t="n">
        <v>6</v>
      </c>
      <c r="V40" s="17" t="n">
        <v>0</v>
      </c>
      <c r="W40" s="17" t="n">
        <v>0</v>
      </c>
      <c r="X40" s="17" t="n">
        <v>0</v>
      </c>
      <c r="Y40" s="19" t="n">
        <v>24.1</v>
      </c>
      <c r="Z40" s="17" t="str">
        <f aca="false">IF(F40&lt;=Constraints!$B$4,"PASS","FAIL")</f>
        <v>PASS</v>
      </c>
      <c r="AA40" s="17" t="str">
        <f aca="false">IF(H40="","PASS",IF(H40&lt;=Constraints!$B$6,"PASS","FAIL"))</f>
        <v>PASS</v>
      </c>
      <c r="AB40" s="17" t="str">
        <f aca="false">IF(I40&gt;=Constraints!$B$7,"PASS","FAIL")</f>
        <v>PASS</v>
      </c>
      <c r="AC40" s="17" t="str">
        <f aca="false">IF(AND(U40&gt;=Constraints!$B$8,V40=0),"PASS","FAIL")</f>
        <v>PASS</v>
      </c>
      <c r="AD40" s="17" t="str">
        <f aca="false">IF(Y40&gt;=Constraints!$B$10-0.000001,"PASS","FAIL")</f>
        <v>PASS</v>
      </c>
      <c r="AE40" s="17" t="str">
        <f aca="false">IF(AND(W40=0,X40=0,G40&lt;=Constraints!$B$5),"PASS","FAIL")</f>
        <v>PASS</v>
      </c>
      <c r="AF40" s="22" t="str">
        <f aca="false">IF(COUNTIF(Z40:AE40,"FAIL")=0,"PASS","FAIL")</f>
        <v>PASS</v>
      </c>
      <c r="AG40" s="23" t="s">
        <v>120</v>
      </c>
    </row>
    <row r="41" customFormat="false" ht="15" hidden="false" customHeight="false" outlineLevel="0" collapsed="false">
      <c r="A41" s="17" t="n">
        <v>38</v>
      </c>
      <c r="B41" s="17" t="s">
        <v>151</v>
      </c>
      <c r="C41" s="17" t="s">
        <v>159</v>
      </c>
      <c r="D41" s="17" t="s">
        <v>119</v>
      </c>
      <c r="E41" s="17" t="n">
        <v>2</v>
      </c>
      <c r="F41" s="17" t="n">
        <v>738.4</v>
      </c>
      <c r="G41" s="17" t="n">
        <v>880.4</v>
      </c>
      <c r="H41" s="17" t="n">
        <v>53.4</v>
      </c>
      <c r="I41" s="18" t="n">
        <v>1</v>
      </c>
      <c r="J41" s="19" t="n">
        <v>91.7</v>
      </c>
      <c r="K41" s="19" t="n">
        <v>25.8</v>
      </c>
      <c r="L41" s="19" t="n">
        <v>58.9</v>
      </c>
      <c r="M41" s="19" t="n">
        <v>15.2</v>
      </c>
      <c r="N41" s="19" t="n">
        <v>256.6</v>
      </c>
      <c r="O41" s="19" t="n">
        <v>93.7</v>
      </c>
      <c r="P41" s="20" t="n">
        <v>0.623</v>
      </c>
      <c r="Q41" s="17" t="n">
        <v>0</v>
      </c>
      <c r="R41" s="21"/>
      <c r="S41" s="19" t="n">
        <v>0</v>
      </c>
      <c r="T41" s="17" t="n">
        <v>1</v>
      </c>
      <c r="U41" s="21" t="n">
        <v>6</v>
      </c>
      <c r="V41" s="17" t="n">
        <v>0</v>
      </c>
      <c r="W41" s="17" t="n">
        <v>0</v>
      </c>
      <c r="X41" s="17" t="n">
        <v>0</v>
      </c>
      <c r="Y41" s="19" t="n">
        <v>21.9</v>
      </c>
      <c r="Z41" s="17" t="str">
        <f aca="false">IF(F41&lt;=Constraints!$B$4,"PASS","FAIL")</f>
        <v>PASS</v>
      </c>
      <c r="AA41" s="17" t="str">
        <f aca="false">IF(H41="","PASS",IF(H41&lt;=Constraints!$B$6,"PASS","FAIL"))</f>
        <v>PASS</v>
      </c>
      <c r="AB41" s="17" t="str">
        <f aca="false">IF(I41&gt;=Constraints!$B$7,"PASS","FAIL")</f>
        <v>PASS</v>
      </c>
      <c r="AC41" s="17" t="str">
        <f aca="false">IF(AND(U41&gt;=Constraints!$B$8,V41=0),"PASS","FAIL")</f>
        <v>PASS</v>
      </c>
      <c r="AD41" s="17" t="str">
        <f aca="false">IF(Y41&gt;=Constraints!$B$10-0.000001,"PASS","FAIL")</f>
        <v>PASS</v>
      </c>
      <c r="AE41" s="17" t="str">
        <f aca="false">IF(AND(W41=0,X41=0,G41&lt;=Constraints!$B$5),"PASS","FAIL")</f>
        <v>PASS</v>
      </c>
      <c r="AF41" s="22" t="str">
        <f aca="false">IF(COUNTIF(Z41:AE41,"FAIL")=0,"PASS","FAIL")</f>
        <v>PASS</v>
      </c>
      <c r="AG41" s="23" t="s">
        <v>120</v>
      </c>
    </row>
    <row r="42" customFormat="false" ht="15" hidden="false" customHeight="false" outlineLevel="0" collapsed="false">
      <c r="A42" s="17" t="n">
        <v>39</v>
      </c>
      <c r="B42" s="17" t="s">
        <v>151</v>
      </c>
      <c r="C42" s="17" t="s">
        <v>160</v>
      </c>
      <c r="D42" s="17" t="s">
        <v>119</v>
      </c>
      <c r="E42" s="17" t="n">
        <v>2</v>
      </c>
      <c r="F42" s="17" t="n">
        <v>638.9</v>
      </c>
      <c r="G42" s="17" t="n">
        <v>767.1</v>
      </c>
      <c r="H42" s="17" t="n">
        <v>101.8</v>
      </c>
      <c r="I42" s="18" t="n">
        <v>1</v>
      </c>
      <c r="J42" s="19" t="n">
        <v>96.1</v>
      </c>
      <c r="K42" s="19" t="n">
        <v>13.9</v>
      </c>
      <c r="L42" s="19" t="n">
        <v>67.9</v>
      </c>
      <c r="M42" s="19" t="n">
        <v>18.2</v>
      </c>
      <c r="N42" s="19" t="n">
        <v>109</v>
      </c>
      <c r="O42" s="19" t="n">
        <v>96.9</v>
      </c>
      <c r="P42" s="20" t="n">
        <v>0.623</v>
      </c>
      <c r="Q42" s="17" t="n">
        <v>0</v>
      </c>
      <c r="R42" s="21"/>
      <c r="S42" s="19" t="n">
        <v>0</v>
      </c>
      <c r="T42" s="17" t="n">
        <v>0</v>
      </c>
      <c r="U42" s="21" t="n">
        <v>6</v>
      </c>
      <c r="V42" s="17" t="n">
        <v>0</v>
      </c>
      <c r="W42" s="17" t="n">
        <v>0</v>
      </c>
      <c r="X42" s="17" t="n">
        <v>0</v>
      </c>
      <c r="Y42" s="19" t="n">
        <v>30.5</v>
      </c>
      <c r="Z42" s="17" t="str">
        <f aca="false">IF(F42&lt;=Constraints!$B$4,"PASS","FAIL")</f>
        <v>PASS</v>
      </c>
      <c r="AA42" s="17" t="str">
        <f aca="false">IF(H42="","PASS",IF(H42&lt;=Constraints!$B$6,"PASS","FAIL"))</f>
        <v>PASS</v>
      </c>
      <c r="AB42" s="17" t="str">
        <f aca="false">IF(I42&gt;=Constraints!$B$7,"PASS","FAIL")</f>
        <v>PASS</v>
      </c>
      <c r="AC42" s="17" t="str">
        <f aca="false">IF(AND(U42&gt;=Constraints!$B$8,V42=0),"PASS","FAIL")</f>
        <v>PASS</v>
      </c>
      <c r="AD42" s="17" t="str">
        <f aca="false">IF(Y42&gt;=Constraints!$B$10-0.000001,"PASS","FAIL")</f>
        <v>PASS</v>
      </c>
      <c r="AE42" s="17" t="str">
        <f aca="false">IF(AND(W42=0,X42=0,G42&lt;=Constraints!$B$5),"PASS","FAIL")</f>
        <v>PASS</v>
      </c>
      <c r="AF42" s="22" t="str">
        <f aca="false">IF(COUNTIF(Z42:AE42,"FAIL")=0,"PASS","FAIL")</f>
        <v>PASS</v>
      </c>
      <c r="AG42" s="23" t="s">
        <v>120</v>
      </c>
    </row>
    <row r="43" customFormat="false" ht="15" hidden="false" customHeight="false" outlineLevel="0" collapsed="false">
      <c r="A43" s="17" t="n">
        <v>40</v>
      </c>
      <c r="B43" s="17" t="s">
        <v>151</v>
      </c>
      <c r="C43" s="17" t="s">
        <v>161</v>
      </c>
      <c r="D43" s="17" t="s">
        <v>119</v>
      </c>
      <c r="E43" s="17" t="n">
        <v>4</v>
      </c>
      <c r="F43" s="17" t="n">
        <v>696.2</v>
      </c>
      <c r="G43" s="17" t="n">
        <v>831.1</v>
      </c>
      <c r="H43" s="17" t="n">
        <v>31.7</v>
      </c>
      <c r="I43" s="18" t="n">
        <v>1</v>
      </c>
      <c r="J43" s="19" t="n">
        <v>92.2</v>
      </c>
      <c r="K43" s="19" t="n">
        <v>29.4</v>
      </c>
      <c r="L43" s="19" t="n">
        <v>53.5</v>
      </c>
      <c r="M43" s="19" t="n">
        <v>17.1</v>
      </c>
      <c r="N43" s="19" t="n">
        <v>244</v>
      </c>
      <c r="O43" s="19" t="n">
        <v>93.5</v>
      </c>
      <c r="P43" s="20" t="n">
        <v>0.616</v>
      </c>
      <c r="Q43" s="17" t="n">
        <v>0</v>
      </c>
      <c r="R43" s="21"/>
      <c r="S43" s="19" t="n">
        <v>0</v>
      </c>
      <c r="T43" s="17" t="n">
        <v>1</v>
      </c>
      <c r="U43" s="21" t="n">
        <v>6</v>
      </c>
      <c r="V43" s="17" t="n">
        <v>0</v>
      </c>
      <c r="W43" s="17" t="n">
        <v>0</v>
      </c>
      <c r="X43" s="17" t="n">
        <v>0</v>
      </c>
      <c r="Y43" s="19" t="n">
        <v>25.5</v>
      </c>
      <c r="Z43" s="17" t="str">
        <f aca="false">IF(F43&lt;=Constraints!$B$4,"PASS","FAIL")</f>
        <v>PASS</v>
      </c>
      <c r="AA43" s="17" t="str">
        <f aca="false">IF(H43="","PASS",IF(H43&lt;=Constraints!$B$6,"PASS","FAIL"))</f>
        <v>PASS</v>
      </c>
      <c r="AB43" s="17" t="str">
        <f aca="false">IF(I43&gt;=Constraints!$B$7,"PASS","FAIL")</f>
        <v>PASS</v>
      </c>
      <c r="AC43" s="17" t="str">
        <f aca="false">IF(AND(U43&gt;=Constraints!$B$8,V43=0),"PASS","FAIL")</f>
        <v>PASS</v>
      </c>
      <c r="AD43" s="17" t="str">
        <f aca="false">IF(Y43&gt;=Constraints!$B$10-0.000001,"PASS","FAIL")</f>
        <v>PASS</v>
      </c>
      <c r="AE43" s="17" t="str">
        <f aca="false">IF(AND(W43=0,X43=0,G43&lt;=Constraints!$B$5),"PASS","FAIL")</f>
        <v>PASS</v>
      </c>
      <c r="AF43" s="22" t="str">
        <f aca="false">IF(COUNTIF(Z43:AE43,"FAIL")=0,"PASS","FAIL")</f>
        <v>PASS</v>
      </c>
      <c r="AG43" s="23" t="s">
        <v>120</v>
      </c>
    </row>
    <row r="44" customFormat="false" ht="15" hidden="false" customHeight="false" outlineLevel="0" collapsed="false">
      <c r="A44" s="17" t="n">
        <v>41</v>
      </c>
      <c r="B44" s="17" t="s">
        <v>151</v>
      </c>
      <c r="C44" s="17" t="s">
        <v>162</v>
      </c>
      <c r="D44" s="17" t="s">
        <v>122</v>
      </c>
      <c r="E44" s="17" t="n">
        <v>1</v>
      </c>
      <c r="F44" s="17" t="n">
        <v>466.3</v>
      </c>
      <c r="G44" s="17" t="n">
        <v>602.2</v>
      </c>
      <c r="H44" s="17" t="n">
        <v>79.6</v>
      </c>
      <c r="I44" s="18" t="n">
        <v>1</v>
      </c>
      <c r="J44" s="19" t="n">
        <v>91.4</v>
      </c>
      <c r="K44" s="19" t="n">
        <v>24.2</v>
      </c>
      <c r="L44" s="19" t="n">
        <v>51.1</v>
      </c>
      <c r="M44" s="19" t="n">
        <v>24.8</v>
      </c>
      <c r="N44" s="19" t="n">
        <v>186.4</v>
      </c>
      <c r="O44" s="19" t="n">
        <v>92.4</v>
      </c>
      <c r="P44" s="20" t="n">
        <v>0.647</v>
      </c>
      <c r="Q44" s="17" t="n">
        <v>4</v>
      </c>
      <c r="R44" s="21" t="n">
        <v>20.8</v>
      </c>
      <c r="S44" s="19" t="n">
        <v>63</v>
      </c>
      <c r="T44" s="17" t="n">
        <v>0</v>
      </c>
      <c r="U44" s="21" t="n">
        <v>6</v>
      </c>
      <c r="V44" s="17" t="n">
        <v>0</v>
      </c>
      <c r="W44" s="17" t="n">
        <v>0</v>
      </c>
      <c r="X44" s="17" t="n">
        <v>0</v>
      </c>
      <c r="Y44" s="19" t="n">
        <v>34.6</v>
      </c>
      <c r="Z44" s="17" t="str">
        <f aca="false">IF(F44&lt;=Constraints!$B$4,"PASS","FAIL")</f>
        <v>PASS</v>
      </c>
      <c r="AA44" s="17" t="str">
        <f aca="false">IF(H44="","PASS",IF(H44&lt;=Constraints!$B$6,"PASS","FAIL"))</f>
        <v>PASS</v>
      </c>
      <c r="AB44" s="17" t="str">
        <f aca="false">IF(I44&gt;=Constraints!$B$7,"PASS","FAIL")</f>
        <v>PASS</v>
      </c>
      <c r="AC44" s="17" t="str">
        <f aca="false">IF(AND(U44&gt;=Constraints!$B$8,V44=0),"PASS","FAIL")</f>
        <v>PASS</v>
      </c>
      <c r="AD44" s="17" t="str">
        <f aca="false">IF(Y44&gt;=Constraints!$B$10-0.000001,"PASS","FAIL")</f>
        <v>PASS</v>
      </c>
      <c r="AE44" s="17" t="str">
        <f aca="false">IF(AND(W44=0,X44=0,G44&lt;=Constraints!$B$5),"PASS","FAIL")</f>
        <v>PASS</v>
      </c>
      <c r="AF44" s="22" t="str">
        <f aca="false">IF(COUNTIF(Z44:AE44,"FAIL")=0,"PASS","FAIL")</f>
        <v>PASS</v>
      </c>
      <c r="AG44" s="23" t="s">
        <v>120</v>
      </c>
    </row>
    <row r="45" customFormat="false" ht="15" hidden="false" customHeight="false" outlineLevel="0" collapsed="false">
      <c r="A45" s="17" t="n">
        <v>42</v>
      </c>
      <c r="B45" s="17" t="s">
        <v>151</v>
      </c>
      <c r="C45" s="17" t="s">
        <v>163</v>
      </c>
      <c r="D45" s="17" t="s">
        <v>122</v>
      </c>
      <c r="E45" s="17" t="n">
        <v>4</v>
      </c>
      <c r="F45" s="17" t="n">
        <v>502.3</v>
      </c>
      <c r="G45" s="17" t="n">
        <v>626.4</v>
      </c>
      <c r="H45" s="17" t="n">
        <v>58.8</v>
      </c>
      <c r="I45" s="18" t="n">
        <v>1</v>
      </c>
      <c r="J45" s="19" t="n">
        <v>95.1</v>
      </c>
      <c r="K45" s="19" t="n">
        <v>13</v>
      </c>
      <c r="L45" s="19" t="n">
        <v>57.1</v>
      </c>
      <c r="M45" s="19" t="n">
        <v>29.9</v>
      </c>
      <c r="N45" s="19" t="n">
        <v>121.5</v>
      </c>
      <c r="O45" s="19" t="n">
        <v>94.6</v>
      </c>
      <c r="P45" s="20" t="n">
        <v>0.591</v>
      </c>
      <c r="Q45" s="17" t="n">
        <v>4</v>
      </c>
      <c r="R45" s="21" t="n">
        <v>15.49</v>
      </c>
      <c r="S45" s="19" t="n">
        <v>41.5</v>
      </c>
      <c r="T45" s="17" t="n">
        <v>0</v>
      </c>
      <c r="U45" s="21" t="n">
        <v>6</v>
      </c>
      <c r="V45" s="17" t="n">
        <v>0</v>
      </c>
      <c r="W45" s="17" t="n">
        <v>0</v>
      </c>
      <c r="X45" s="17" t="n">
        <v>0</v>
      </c>
      <c r="Y45" s="19" t="n">
        <v>34.8</v>
      </c>
      <c r="Z45" s="17" t="str">
        <f aca="false">IF(F45&lt;=Constraints!$B$4,"PASS","FAIL")</f>
        <v>PASS</v>
      </c>
      <c r="AA45" s="17" t="str">
        <f aca="false">IF(H45="","PASS",IF(H45&lt;=Constraints!$B$6,"PASS","FAIL"))</f>
        <v>PASS</v>
      </c>
      <c r="AB45" s="17" t="str">
        <f aca="false">IF(I45&gt;=Constraints!$B$7,"PASS","FAIL")</f>
        <v>PASS</v>
      </c>
      <c r="AC45" s="17" t="str">
        <f aca="false">IF(AND(U45&gt;=Constraints!$B$8,V45=0),"PASS","FAIL")</f>
        <v>PASS</v>
      </c>
      <c r="AD45" s="17" t="str">
        <f aca="false">IF(Y45&gt;=Constraints!$B$10-0.000001,"PASS","FAIL")</f>
        <v>PASS</v>
      </c>
      <c r="AE45" s="17" t="str">
        <f aca="false">IF(AND(W45=0,X45=0,G45&lt;=Constraints!$B$5),"PASS","FAIL")</f>
        <v>PASS</v>
      </c>
      <c r="AF45" s="22" t="str">
        <f aca="false">IF(COUNTIF(Z45:AE45,"FAIL")=0,"PASS","FAIL")</f>
        <v>PASS</v>
      </c>
      <c r="AG45" s="23" t="s">
        <v>120</v>
      </c>
    </row>
    <row r="46" customFormat="false" ht="15" hidden="false" customHeight="false" outlineLevel="0" collapsed="false">
      <c r="A46" s="17" t="n">
        <v>43</v>
      </c>
      <c r="B46" s="17" t="s">
        <v>151</v>
      </c>
      <c r="C46" s="17" t="s">
        <v>164</v>
      </c>
      <c r="D46" s="17" t="s">
        <v>119</v>
      </c>
      <c r="E46" s="17" t="n">
        <v>4</v>
      </c>
      <c r="F46" s="17" t="n">
        <v>497.8</v>
      </c>
      <c r="G46" s="17" t="n">
        <v>632.1</v>
      </c>
      <c r="H46" s="17" t="n">
        <v>62.2</v>
      </c>
      <c r="I46" s="18" t="n">
        <v>1</v>
      </c>
      <c r="J46" s="19" t="n">
        <v>91.3</v>
      </c>
      <c r="K46" s="19" t="n">
        <v>32.3</v>
      </c>
      <c r="L46" s="19" t="n">
        <v>38.8</v>
      </c>
      <c r="M46" s="19" t="n">
        <v>28.9</v>
      </c>
      <c r="N46" s="19" t="n">
        <v>238</v>
      </c>
      <c r="O46" s="19" t="n">
        <v>91.6</v>
      </c>
      <c r="P46" s="20" t="n">
        <v>0.618</v>
      </c>
      <c r="Q46" s="17" t="n">
        <v>0</v>
      </c>
      <c r="R46" s="21"/>
      <c r="S46" s="19" t="n">
        <v>0</v>
      </c>
      <c r="T46" s="17" t="n">
        <v>1</v>
      </c>
      <c r="U46" s="21" t="n">
        <v>6</v>
      </c>
      <c r="V46" s="17" t="n">
        <v>0</v>
      </c>
      <c r="W46" s="17" t="n">
        <v>0</v>
      </c>
      <c r="X46" s="17" t="n">
        <v>0</v>
      </c>
      <c r="Y46" s="19" t="n">
        <v>26.7</v>
      </c>
      <c r="Z46" s="17" t="str">
        <f aca="false">IF(F46&lt;=Constraints!$B$4,"PASS","FAIL")</f>
        <v>PASS</v>
      </c>
      <c r="AA46" s="17" t="str">
        <f aca="false">IF(H46="","PASS",IF(H46&lt;=Constraints!$B$6,"PASS","FAIL"))</f>
        <v>PASS</v>
      </c>
      <c r="AB46" s="17" t="str">
        <f aca="false">IF(I46&gt;=Constraints!$B$7,"PASS","FAIL")</f>
        <v>PASS</v>
      </c>
      <c r="AC46" s="17" t="str">
        <f aca="false">IF(AND(U46&gt;=Constraints!$B$8,V46=0),"PASS","FAIL")</f>
        <v>PASS</v>
      </c>
      <c r="AD46" s="17" t="str">
        <f aca="false">IF(Y46&gt;=Constraints!$B$10-0.000001,"PASS","FAIL")</f>
        <v>PASS</v>
      </c>
      <c r="AE46" s="17" t="str">
        <f aca="false">IF(AND(W46=0,X46=0,G46&lt;=Constraints!$B$5),"PASS","FAIL")</f>
        <v>PASS</v>
      </c>
      <c r="AF46" s="22" t="str">
        <f aca="false">IF(COUNTIF(Z46:AE46,"FAIL")=0,"PASS","FAIL")</f>
        <v>PASS</v>
      </c>
      <c r="AG46" s="23" t="s">
        <v>120</v>
      </c>
    </row>
    <row r="47" customFormat="false" ht="15" hidden="false" customHeight="false" outlineLevel="0" collapsed="false">
      <c r="A47" s="17" t="n">
        <v>44</v>
      </c>
      <c r="B47" s="17" t="s">
        <v>151</v>
      </c>
      <c r="C47" s="17" t="s">
        <v>165</v>
      </c>
      <c r="D47" s="17" t="s">
        <v>119</v>
      </c>
      <c r="E47" s="17" t="n">
        <v>1</v>
      </c>
      <c r="F47" s="17" t="n">
        <v>741.8</v>
      </c>
      <c r="G47" s="17" t="n">
        <v>849.4</v>
      </c>
      <c r="H47" s="17" t="n">
        <v>73.6</v>
      </c>
      <c r="I47" s="18" t="n">
        <v>1</v>
      </c>
      <c r="J47" s="19" t="n">
        <v>96.4</v>
      </c>
      <c r="K47" s="19" t="n">
        <v>14.6</v>
      </c>
      <c r="L47" s="19" t="n">
        <v>66.6</v>
      </c>
      <c r="M47" s="19" t="n">
        <v>18.9</v>
      </c>
      <c r="N47" s="19" t="n">
        <v>114.9</v>
      </c>
      <c r="O47" s="19" t="n">
        <v>96.8</v>
      </c>
      <c r="P47" s="20" t="n">
        <v>0.582</v>
      </c>
      <c r="Q47" s="17" t="n">
        <v>0</v>
      </c>
      <c r="R47" s="21"/>
      <c r="S47" s="19" t="n">
        <v>0</v>
      </c>
      <c r="T47" s="17" t="n">
        <v>1</v>
      </c>
      <c r="U47" s="21" t="n">
        <v>6</v>
      </c>
      <c r="V47" s="17" t="n">
        <v>0</v>
      </c>
      <c r="W47" s="17" t="n">
        <v>0</v>
      </c>
      <c r="X47" s="17" t="n">
        <v>0</v>
      </c>
      <c r="Y47" s="19" t="n">
        <v>23.9</v>
      </c>
      <c r="Z47" s="17" t="str">
        <f aca="false">IF(F47&lt;=Constraints!$B$4,"PASS","FAIL")</f>
        <v>PASS</v>
      </c>
      <c r="AA47" s="17" t="str">
        <f aca="false">IF(H47="","PASS",IF(H47&lt;=Constraints!$B$6,"PASS","FAIL"))</f>
        <v>PASS</v>
      </c>
      <c r="AB47" s="17" t="str">
        <f aca="false">IF(I47&gt;=Constraints!$B$7,"PASS","FAIL")</f>
        <v>PASS</v>
      </c>
      <c r="AC47" s="17" t="str">
        <f aca="false">IF(AND(U47&gt;=Constraints!$B$8,V47=0),"PASS","FAIL")</f>
        <v>PASS</v>
      </c>
      <c r="AD47" s="17" t="str">
        <f aca="false">IF(Y47&gt;=Constraints!$B$10-0.000001,"PASS","FAIL")</f>
        <v>PASS</v>
      </c>
      <c r="AE47" s="17" t="str">
        <f aca="false">IF(AND(W47=0,X47=0,G47&lt;=Constraints!$B$5),"PASS","FAIL")</f>
        <v>PASS</v>
      </c>
      <c r="AF47" s="22" t="str">
        <f aca="false">IF(COUNTIF(Z47:AE47,"FAIL")=0,"PASS","FAIL")</f>
        <v>PASS</v>
      </c>
      <c r="AG47" s="23" t="s">
        <v>120</v>
      </c>
    </row>
    <row r="48" customFormat="false" ht="15" hidden="false" customHeight="false" outlineLevel="0" collapsed="false">
      <c r="A48" s="17" t="n">
        <v>45</v>
      </c>
      <c r="B48" s="17" t="s">
        <v>151</v>
      </c>
      <c r="C48" s="17" t="s">
        <v>166</v>
      </c>
      <c r="D48" s="17" t="s">
        <v>119</v>
      </c>
      <c r="E48" s="17" t="n">
        <v>2</v>
      </c>
      <c r="F48" s="17" t="n">
        <v>704.4</v>
      </c>
      <c r="G48" s="17" t="n">
        <v>824</v>
      </c>
      <c r="H48" s="17" t="n">
        <v>92.6</v>
      </c>
      <c r="I48" s="18" t="n">
        <v>0.875</v>
      </c>
      <c r="J48" s="19" t="n">
        <v>74.9</v>
      </c>
      <c r="K48" s="19" t="n">
        <v>45.4</v>
      </c>
      <c r="L48" s="19" t="n">
        <v>36.4</v>
      </c>
      <c r="M48" s="19" t="n">
        <v>18.2</v>
      </c>
      <c r="N48" s="19" t="n">
        <v>707.6</v>
      </c>
      <c r="O48" s="19" t="n">
        <v>79.9</v>
      </c>
      <c r="P48" s="20" t="n">
        <v>0.633</v>
      </c>
      <c r="Q48" s="17" t="n">
        <v>0</v>
      </c>
      <c r="R48" s="21"/>
      <c r="S48" s="19" t="n">
        <v>0</v>
      </c>
      <c r="T48" s="17" t="n">
        <v>1</v>
      </c>
      <c r="U48" s="21" t="n">
        <v>6</v>
      </c>
      <c r="V48" s="17" t="n">
        <v>0</v>
      </c>
      <c r="W48" s="17" t="n">
        <v>0</v>
      </c>
      <c r="X48" s="17" t="n">
        <v>0</v>
      </c>
      <c r="Y48" s="19" t="n">
        <v>21.9</v>
      </c>
      <c r="Z48" s="17" t="str">
        <f aca="false">IF(F48&lt;=Constraints!$B$4,"PASS","FAIL")</f>
        <v>PASS</v>
      </c>
      <c r="AA48" s="17" t="str">
        <f aca="false">IF(H48="","PASS",IF(H48&lt;=Constraints!$B$6,"PASS","FAIL"))</f>
        <v>PASS</v>
      </c>
      <c r="AB48" s="17" t="str">
        <f aca="false">IF(I48&gt;=Constraints!$B$7,"PASS","FAIL")</f>
        <v>PASS</v>
      </c>
      <c r="AC48" s="17" t="str">
        <f aca="false">IF(AND(U48&gt;=Constraints!$B$8,V48=0),"PASS","FAIL")</f>
        <v>PASS</v>
      </c>
      <c r="AD48" s="17" t="str">
        <f aca="false">IF(Y48&gt;=Constraints!$B$10-0.000001,"PASS","FAIL")</f>
        <v>PASS</v>
      </c>
      <c r="AE48" s="17" t="str">
        <f aca="false">IF(AND(W48=0,X48=0,G48&lt;=Constraints!$B$5),"PASS","FAIL")</f>
        <v>PASS</v>
      </c>
      <c r="AF48" s="22" t="str">
        <f aca="false">IF(COUNTIF(Z48:AE48,"FAIL")=0,"PASS","FAIL")</f>
        <v>PASS</v>
      </c>
      <c r="AG48" s="23" t="s">
        <v>120</v>
      </c>
    </row>
    <row r="49" customFormat="false" ht="15" hidden="false" customHeight="false" outlineLevel="0" collapsed="false">
      <c r="A49" s="17" t="n">
        <v>46</v>
      </c>
      <c r="B49" s="17" t="s">
        <v>151</v>
      </c>
      <c r="C49" s="17" t="s">
        <v>167</v>
      </c>
      <c r="D49" s="17" t="s">
        <v>119</v>
      </c>
      <c r="E49" s="17" t="n">
        <v>1</v>
      </c>
      <c r="F49" s="17" t="n">
        <v>644.7</v>
      </c>
      <c r="G49" s="17" t="n">
        <v>753.8</v>
      </c>
      <c r="H49" s="17" t="n">
        <v>107</v>
      </c>
      <c r="I49" s="18" t="n">
        <v>1</v>
      </c>
      <c r="J49" s="19" t="n">
        <v>92.6</v>
      </c>
      <c r="K49" s="19" t="n">
        <v>22.3</v>
      </c>
      <c r="L49" s="19" t="n">
        <v>53.2</v>
      </c>
      <c r="M49" s="19" t="n">
        <v>24.5</v>
      </c>
      <c r="N49" s="19" t="n">
        <v>192.8</v>
      </c>
      <c r="O49" s="19" t="n">
        <v>94.5</v>
      </c>
      <c r="P49" s="20" t="n">
        <v>0.634</v>
      </c>
      <c r="Q49" s="17" t="n">
        <v>0</v>
      </c>
      <c r="R49" s="21"/>
      <c r="S49" s="19" t="n">
        <v>0</v>
      </c>
      <c r="T49" s="17" t="n">
        <v>1</v>
      </c>
      <c r="U49" s="21" t="n">
        <v>6</v>
      </c>
      <c r="V49" s="17" t="n">
        <v>0</v>
      </c>
      <c r="W49" s="17" t="n">
        <v>0</v>
      </c>
      <c r="X49" s="17" t="n">
        <v>0</v>
      </c>
      <c r="Y49" s="19" t="n">
        <v>25.2</v>
      </c>
      <c r="Z49" s="17" t="str">
        <f aca="false">IF(F49&lt;=Constraints!$B$4,"PASS","FAIL")</f>
        <v>PASS</v>
      </c>
      <c r="AA49" s="17" t="str">
        <f aca="false">IF(H49="","PASS",IF(H49&lt;=Constraints!$B$6,"PASS","FAIL"))</f>
        <v>PASS</v>
      </c>
      <c r="AB49" s="17" t="str">
        <f aca="false">IF(I49&gt;=Constraints!$B$7,"PASS","FAIL")</f>
        <v>PASS</v>
      </c>
      <c r="AC49" s="17" t="str">
        <f aca="false">IF(AND(U49&gt;=Constraints!$B$8,V49=0),"PASS","FAIL")</f>
        <v>PASS</v>
      </c>
      <c r="AD49" s="17" t="str">
        <f aca="false">IF(Y49&gt;=Constraints!$B$10-0.000001,"PASS","FAIL")</f>
        <v>PASS</v>
      </c>
      <c r="AE49" s="17" t="str">
        <f aca="false">IF(AND(W49=0,X49=0,G49&lt;=Constraints!$B$5),"PASS","FAIL")</f>
        <v>PASS</v>
      </c>
      <c r="AF49" s="22" t="str">
        <f aca="false">IF(COUNTIF(Z49:AE49,"FAIL")=0,"PASS","FAIL")</f>
        <v>PASS</v>
      </c>
      <c r="AG49" s="23" t="s">
        <v>120</v>
      </c>
    </row>
    <row r="50" customFormat="false" ht="15" hidden="false" customHeight="false" outlineLevel="0" collapsed="false">
      <c r="A50" s="17" t="n">
        <v>47</v>
      </c>
      <c r="B50" s="17" t="s">
        <v>151</v>
      </c>
      <c r="C50" s="17" t="s">
        <v>168</v>
      </c>
      <c r="D50" s="17" t="s">
        <v>119</v>
      </c>
      <c r="E50" s="17" t="n">
        <v>5</v>
      </c>
      <c r="F50" s="17" t="n">
        <v>871.5</v>
      </c>
      <c r="G50" s="17" t="n">
        <v>1007</v>
      </c>
      <c r="H50" s="17" t="n">
        <v>98.1</v>
      </c>
      <c r="I50" s="18" t="n">
        <v>1</v>
      </c>
      <c r="J50" s="19" t="n">
        <v>92.9</v>
      </c>
      <c r="K50" s="19" t="n">
        <v>24.3</v>
      </c>
      <c r="L50" s="19" t="n">
        <v>60.3</v>
      </c>
      <c r="M50" s="19" t="n">
        <v>15.4</v>
      </c>
      <c r="N50" s="19" t="n">
        <v>262.3</v>
      </c>
      <c r="O50" s="19" t="n">
        <v>94</v>
      </c>
      <c r="P50" s="20" t="n">
        <v>0.592</v>
      </c>
      <c r="Q50" s="17" t="n">
        <v>0</v>
      </c>
      <c r="R50" s="21"/>
      <c r="S50" s="19" t="n">
        <v>0</v>
      </c>
      <c r="T50" s="17" t="n">
        <v>1</v>
      </c>
      <c r="U50" s="21" t="n">
        <v>6</v>
      </c>
      <c r="V50" s="17" t="n">
        <v>0</v>
      </c>
      <c r="W50" s="17" t="n">
        <v>0</v>
      </c>
      <c r="X50" s="17" t="n">
        <v>0</v>
      </c>
      <c r="Y50" s="19" t="n">
        <v>25.8</v>
      </c>
      <c r="Z50" s="17" t="str">
        <f aca="false">IF(F50&lt;=Constraints!$B$4,"PASS","FAIL")</f>
        <v>PASS</v>
      </c>
      <c r="AA50" s="17" t="str">
        <f aca="false">IF(H50="","PASS",IF(H50&lt;=Constraints!$B$6,"PASS","FAIL"))</f>
        <v>PASS</v>
      </c>
      <c r="AB50" s="17" t="str">
        <f aca="false">IF(I50&gt;=Constraints!$B$7,"PASS","FAIL")</f>
        <v>PASS</v>
      </c>
      <c r="AC50" s="17" t="str">
        <f aca="false">IF(AND(U50&gt;=Constraints!$B$8,V50=0),"PASS","FAIL")</f>
        <v>PASS</v>
      </c>
      <c r="AD50" s="17" t="str">
        <f aca="false">IF(Y50&gt;=Constraints!$B$10-0.000001,"PASS","FAIL")</f>
        <v>PASS</v>
      </c>
      <c r="AE50" s="17" t="str">
        <f aca="false">IF(AND(W50=0,X50=0,G50&lt;=Constraints!$B$5),"PASS","FAIL")</f>
        <v>PASS</v>
      </c>
      <c r="AF50" s="22" t="str">
        <f aca="false">IF(COUNTIF(Z50:AE50,"FAIL")=0,"PASS","FAIL")</f>
        <v>PASS</v>
      </c>
      <c r="AG50" s="23" t="s">
        <v>120</v>
      </c>
    </row>
    <row r="51" customFormat="false" ht="15" hidden="false" customHeight="false" outlineLevel="0" collapsed="false">
      <c r="A51" s="17" t="n">
        <v>48</v>
      </c>
      <c r="B51" s="17" t="s">
        <v>151</v>
      </c>
      <c r="C51" s="17" t="s">
        <v>169</v>
      </c>
      <c r="D51" s="17" t="s">
        <v>122</v>
      </c>
      <c r="E51" s="17" t="n">
        <v>4</v>
      </c>
      <c r="F51" s="17" t="n">
        <v>564.4</v>
      </c>
      <c r="G51" s="17" t="n">
        <v>701.6</v>
      </c>
      <c r="H51" s="17" t="n">
        <v>127.6</v>
      </c>
      <c r="I51" s="18" t="n">
        <v>1</v>
      </c>
      <c r="J51" s="19" t="n">
        <v>97</v>
      </c>
      <c r="K51" s="19" t="n">
        <v>5.6</v>
      </c>
      <c r="L51" s="19" t="n">
        <v>72.2</v>
      </c>
      <c r="M51" s="19" t="n">
        <v>22.2</v>
      </c>
      <c r="N51" s="19" t="n">
        <v>81</v>
      </c>
      <c r="O51" s="19" t="n">
        <v>96.5</v>
      </c>
      <c r="P51" s="20" t="n">
        <v>0.6</v>
      </c>
      <c r="Q51" s="17" t="n">
        <v>4</v>
      </c>
      <c r="R51" s="21" t="n">
        <v>20.16</v>
      </c>
      <c r="S51" s="19" t="n">
        <v>60.4</v>
      </c>
      <c r="T51" s="17" t="n">
        <v>0</v>
      </c>
      <c r="U51" s="21" t="n">
        <v>6</v>
      </c>
      <c r="V51" s="17" t="n">
        <v>0</v>
      </c>
      <c r="W51" s="17" t="n">
        <v>0</v>
      </c>
      <c r="X51" s="17" t="n">
        <v>0</v>
      </c>
      <c r="Y51" s="19" t="n">
        <v>29.7</v>
      </c>
      <c r="Z51" s="17" t="str">
        <f aca="false">IF(F51&lt;=Constraints!$B$4,"PASS","FAIL")</f>
        <v>PASS</v>
      </c>
      <c r="AA51" s="17" t="str">
        <f aca="false">IF(H51="","PASS",IF(H51&lt;=Constraints!$B$6,"PASS","FAIL"))</f>
        <v>PASS</v>
      </c>
      <c r="AB51" s="17" t="str">
        <f aca="false">IF(I51&gt;=Constraints!$B$7,"PASS","FAIL")</f>
        <v>PASS</v>
      </c>
      <c r="AC51" s="17" t="str">
        <f aca="false">IF(AND(U51&gt;=Constraints!$B$8,V51=0),"PASS","FAIL")</f>
        <v>PASS</v>
      </c>
      <c r="AD51" s="17" t="str">
        <f aca="false">IF(Y51&gt;=Constraints!$B$10-0.000001,"PASS","FAIL")</f>
        <v>PASS</v>
      </c>
      <c r="AE51" s="17" t="str">
        <f aca="false">IF(AND(W51=0,X51=0,G51&lt;=Constraints!$B$5),"PASS","FAIL")</f>
        <v>PASS</v>
      </c>
      <c r="AF51" s="22" t="str">
        <f aca="false">IF(COUNTIF(Z51:AE51,"FAIL")=0,"PASS","FAIL")</f>
        <v>PASS</v>
      </c>
      <c r="AG51" s="23" t="s">
        <v>120</v>
      </c>
    </row>
    <row r="52" customFormat="false" ht="15" hidden="false" customHeight="false" outlineLevel="0" collapsed="false">
      <c r="A52" s="17" t="n">
        <v>49</v>
      </c>
      <c r="B52" s="17" t="s">
        <v>151</v>
      </c>
      <c r="C52" s="17" t="s">
        <v>170</v>
      </c>
      <c r="D52" s="17" t="s">
        <v>119</v>
      </c>
      <c r="E52" s="17" t="n">
        <v>1</v>
      </c>
      <c r="F52" s="17" t="n">
        <v>447.7</v>
      </c>
      <c r="G52" s="17" t="n">
        <v>558.6</v>
      </c>
      <c r="H52" s="17" t="n">
        <v>54.7</v>
      </c>
      <c r="I52" s="18" t="n">
        <v>1</v>
      </c>
      <c r="J52" s="19" t="n">
        <v>95.5</v>
      </c>
      <c r="K52" s="19" t="n">
        <v>19.5</v>
      </c>
      <c r="L52" s="19" t="n">
        <v>53.2</v>
      </c>
      <c r="M52" s="19" t="n">
        <v>27.3</v>
      </c>
      <c r="N52" s="19" t="n">
        <v>98</v>
      </c>
      <c r="O52" s="19" t="n">
        <v>96.3</v>
      </c>
      <c r="P52" s="20" t="n">
        <v>0.63</v>
      </c>
      <c r="Q52" s="17" t="n">
        <v>0</v>
      </c>
      <c r="R52" s="21"/>
      <c r="S52" s="19" t="n">
        <v>0</v>
      </c>
      <c r="T52" s="17" t="n">
        <v>0</v>
      </c>
      <c r="U52" s="21" t="n">
        <v>6</v>
      </c>
      <c r="V52" s="17" t="n">
        <v>0</v>
      </c>
      <c r="W52" s="17" t="n">
        <v>0</v>
      </c>
      <c r="X52" s="17" t="n">
        <v>0</v>
      </c>
      <c r="Y52" s="19" t="n">
        <v>29.3</v>
      </c>
      <c r="Z52" s="17" t="str">
        <f aca="false">IF(F52&lt;=Constraints!$B$4,"PASS","FAIL")</f>
        <v>PASS</v>
      </c>
      <c r="AA52" s="17" t="str">
        <f aca="false">IF(H52="","PASS",IF(H52&lt;=Constraints!$B$6,"PASS","FAIL"))</f>
        <v>PASS</v>
      </c>
      <c r="AB52" s="17" t="str">
        <f aca="false">IF(I52&gt;=Constraints!$B$7,"PASS","FAIL")</f>
        <v>PASS</v>
      </c>
      <c r="AC52" s="17" t="str">
        <f aca="false">IF(AND(U52&gt;=Constraints!$B$8,V52=0),"PASS","FAIL")</f>
        <v>PASS</v>
      </c>
      <c r="AD52" s="17" t="str">
        <f aca="false">IF(Y52&gt;=Constraints!$B$10-0.000001,"PASS","FAIL")</f>
        <v>PASS</v>
      </c>
      <c r="AE52" s="17" t="str">
        <f aca="false">IF(AND(W52=0,X52=0,G52&lt;=Constraints!$B$5),"PASS","FAIL")</f>
        <v>PASS</v>
      </c>
      <c r="AF52" s="22" t="str">
        <f aca="false">IF(COUNTIF(Z52:AE52,"FAIL")=0,"PASS","FAIL")</f>
        <v>PASS</v>
      </c>
      <c r="AG52" s="23" t="s">
        <v>120</v>
      </c>
    </row>
    <row r="53" customFormat="false" ht="15" hidden="false" customHeight="false" outlineLevel="0" collapsed="false">
      <c r="A53" s="17" t="n">
        <v>50</v>
      </c>
      <c r="B53" s="17" t="s">
        <v>151</v>
      </c>
      <c r="C53" s="17" t="s">
        <v>171</v>
      </c>
      <c r="D53" s="17" t="s">
        <v>122</v>
      </c>
      <c r="E53" s="17" t="n">
        <v>1</v>
      </c>
      <c r="F53" s="17" t="n">
        <v>682</v>
      </c>
      <c r="G53" s="17" t="n">
        <v>779.3</v>
      </c>
      <c r="H53" s="17" t="n">
        <v>115.3</v>
      </c>
      <c r="I53" s="18" t="n">
        <v>0.875</v>
      </c>
      <c r="J53" s="19" t="n">
        <v>93.8</v>
      </c>
      <c r="K53" s="19" t="n">
        <v>25.2</v>
      </c>
      <c r="L53" s="19" t="n">
        <v>55</v>
      </c>
      <c r="M53" s="19" t="n">
        <v>19.8</v>
      </c>
      <c r="N53" s="19" t="n">
        <v>195.7</v>
      </c>
      <c r="O53" s="19" t="n">
        <v>93.3</v>
      </c>
      <c r="P53" s="20" t="n">
        <v>0.585</v>
      </c>
      <c r="Q53" s="17" t="n">
        <v>0</v>
      </c>
      <c r="R53" s="21"/>
      <c r="S53" s="19" t="n">
        <v>0</v>
      </c>
      <c r="T53" s="17" t="n">
        <v>1</v>
      </c>
      <c r="U53" s="21" t="n">
        <v>6</v>
      </c>
      <c r="V53" s="17" t="n">
        <v>0</v>
      </c>
      <c r="W53" s="17" t="n">
        <v>0</v>
      </c>
      <c r="X53" s="17" t="n">
        <v>0</v>
      </c>
      <c r="Y53" s="19" t="n">
        <v>23.6</v>
      </c>
      <c r="Z53" s="17" t="str">
        <f aca="false">IF(F53&lt;=Constraints!$B$4,"PASS","FAIL")</f>
        <v>PASS</v>
      </c>
      <c r="AA53" s="17" t="str">
        <f aca="false">IF(H53="","PASS",IF(H53&lt;=Constraints!$B$6,"PASS","FAIL"))</f>
        <v>PASS</v>
      </c>
      <c r="AB53" s="17" t="str">
        <f aca="false">IF(I53&gt;=Constraints!$B$7,"PASS","FAIL")</f>
        <v>PASS</v>
      </c>
      <c r="AC53" s="17" t="str">
        <f aca="false">IF(AND(U53&gt;=Constraints!$B$8,V53=0),"PASS","FAIL")</f>
        <v>PASS</v>
      </c>
      <c r="AD53" s="17" t="str">
        <f aca="false">IF(Y53&gt;=Constraints!$B$10-0.000001,"PASS","FAIL")</f>
        <v>PASS</v>
      </c>
      <c r="AE53" s="17" t="str">
        <f aca="false">IF(AND(W53=0,X53=0,G53&lt;=Constraints!$B$5),"PASS","FAIL")</f>
        <v>PASS</v>
      </c>
      <c r="AF53" s="22" t="str">
        <f aca="false">IF(COUNTIF(Z53:AE53,"FAIL")=0,"PASS","FAIL")</f>
        <v>PASS</v>
      </c>
      <c r="AG53" s="23" t="s">
        <v>120</v>
      </c>
    </row>
    <row r="54" customFormat="false" ht="15" hidden="false" customHeight="false" outlineLevel="0" collapsed="false">
      <c r="A54" s="17" t="n">
        <v>51</v>
      </c>
      <c r="B54" s="17" t="s">
        <v>151</v>
      </c>
      <c r="C54" s="17" t="s">
        <v>172</v>
      </c>
      <c r="D54" s="17" t="s">
        <v>122</v>
      </c>
      <c r="E54" s="17" t="n">
        <v>1</v>
      </c>
      <c r="F54" s="17" t="n">
        <v>629.1</v>
      </c>
      <c r="G54" s="17" t="n">
        <v>759.7</v>
      </c>
      <c r="H54" s="17" t="n">
        <v>113.2</v>
      </c>
      <c r="I54" s="18" t="n">
        <v>1</v>
      </c>
      <c r="J54" s="19" t="n">
        <v>91.8</v>
      </c>
      <c r="K54" s="19" t="n">
        <v>20.2</v>
      </c>
      <c r="L54" s="19" t="n">
        <v>61.2</v>
      </c>
      <c r="M54" s="19" t="n">
        <v>18.6</v>
      </c>
      <c r="N54" s="19" t="n">
        <v>220.4</v>
      </c>
      <c r="O54" s="19" t="n">
        <v>92.9</v>
      </c>
      <c r="P54" s="20" t="n">
        <v>0.6</v>
      </c>
      <c r="Q54" s="17" t="n">
        <v>0</v>
      </c>
      <c r="R54" s="21"/>
      <c r="S54" s="19" t="n">
        <v>0</v>
      </c>
      <c r="T54" s="17" t="n">
        <v>1</v>
      </c>
      <c r="U54" s="21" t="n">
        <v>6</v>
      </c>
      <c r="V54" s="17" t="n">
        <v>0</v>
      </c>
      <c r="W54" s="17" t="n">
        <v>0</v>
      </c>
      <c r="X54" s="17" t="n">
        <v>0</v>
      </c>
      <c r="Y54" s="19" t="n">
        <v>24.9</v>
      </c>
      <c r="Z54" s="17" t="str">
        <f aca="false">IF(F54&lt;=Constraints!$B$4,"PASS","FAIL")</f>
        <v>PASS</v>
      </c>
      <c r="AA54" s="17" t="str">
        <f aca="false">IF(H54="","PASS",IF(H54&lt;=Constraints!$B$6,"PASS","FAIL"))</f>
        <v>PASS</v>
      </c>
      <c r="AB54" s="17" t="str">
        <f aca="false">IF(I54&gt;=Constraints!$B$7,"PASS","FAIL")</f>
        <v>PASS</v>
      </c>
      <c r="AC54" s="17" t="str">
        <f aca="false">IF(AND(U54&gt;=Constraints!$B$8,V54=0),"PASS","FAIL")</f>
        <v>PASS</v>
      </c>
      <c r="AD54" s="17" t="str">
        <f aca="false">IF(Y54&gt;=Constraints!$B$10-0.000001,"PASS","FAIL")</f>
        <v>PASS</v>
      </c>
      <c r="AE54" s="17" t="str">
        <f aca="false">IF(AND(W54=0,X54=0,G54&lt;=Constraints!$B$5),"PASS","FAIL")</f>
        <v>PASS</v>
      </c>
      <c r="AF54" s="22" t="str">
        <f aca="false">IF(COUNTIF(Z54:AE54,"FAIL")=0,"PASS","FAIL")</f>
        <v>PASS</v>
      </c>
      <c r="AG54" s="23" t="s">
        <v>120</v>
      </c>
    </row>
    <row r="55" customFormat="false" ht="15" hidden="false" customHeight="false" outlineLevel="0" collapsed="false">
      <c r="A55" s="17" t="n">
        <v>52</v>
      </c>
      <c r="B55" s="17" t="s">
        <v>151</v>
      </c>
      <c r="C55" s="17" t="s">
        <v>173</v>
      </c>
      <c r="D55" s="17" t="s">
        <v>119</v>
      </c>
      <c r="E55" s="17" t="n">
        <v>1</v>
      </c>
      <c r="F55" s="17" t="n">
        <v>484.6</v>
      </c>
      <c r="G55" s="17" t="n">
        <v>591.5</v>
      </c>
      <c r="H55" s="17" t="n">
        <v>142.1</v>
      </c>
      <c r="I55" s="18" t="n">
        <v>1</v>
      </c>
      <c r="J55" s="19" t="n">
        <v>95</v>
      </c>
      <c r="K55" s="19" t="n">
        <v>19.8</v>
      </c>
      <c r="L55" s="19" t="n">
        <v>51.9</v>
      </c>
      <c r="M55" s="19" t="n">
        <v>28.3</v>
      </c>
      <c r="N55" s="19" t="n">
        <v>105.9</v>
      </c>
      <c r="O55" s="19" t="n">
        <v>95.9</v>
      </c>
      <c r="P55" s="20" t="n">
        <v>0.595</v>
      </c>
      <c r="Q55" s="17" t="n">
        <v>0</v>
      </c>
      <c r="R55" s="21"/>
      <c r="S55" s="19" t="n">
        <v>0</v>
      </c>
      <c r="T55" s="17" t="n">
        <v>1</v>
      </c>
      <c r="U55" s="21" t="n">
        <v>6</v>
      </c>
      <c r="V55" s="17" t="n">
        <v>0</v>
      </c>
      <c r="W55" s="17" t="n">
        <v>0</v>
      </c>
      <c r="X55" s="17" t="n">
        <v>0</v>
      </c>
      <c r="Y55" s="19" t="n">
        <v>22.6</v>
      </c>
      <c r="Z55" s="17" t="str">
        <f aca="false">IF(F55&lt;=Constraints!$B$4,"PASS","FAIL")</f>
        <v>PASS</v>
      </c>
      <c r="AA55" s="17" t="str">
        <f aca="false">IF(H55="","PASS",IF(H55&lt;=Constraints!$B$6,"PASS","FAIL"))</f>
        <v>PASS</v>
      </c>
      <c r="AB55" s="17" t="str">
        <f aca="false">IF(I55&gt;=Constraints!$B$7,"PASS","FAIL")</f>
        <v>PASS</v>
      </c>
      <c r="AC55" s="17" t="str">
        <f aca="false">IF(AND(U55&gt;=Constraints!$B$8,V55=0),"PASS","FAIL")</f>
        <v>PASS</v>
      </c>
      <c r="AD55" s="17" t="str">
        <f aca="false">IF(Y55&gt;=Constraints!$B$10-0.000001,"PASS","FAIL")</f>
        <v>PASS</v>
      </c>
      <c r="AE55" s="17" t="str">
        <f aca="false">IF(AND(W55=0,X55=0,G55&lt;=Constraints!$B$5),"PASS","FAIL")</f>
        <v>PASS</v>
      </c>
      <c r="AF55" s="22" t="str">
        <f aca="false">IF(COUNTIF(Z55:AE55,"FAIL")=0,"PASS","FAIL")</f>
        <v>PASS</v>
      </c>
      <c r="AG55" s="23" t="s">
        <v>120</v>
      </c>
    </row>
    <row r="56" customFormat="false" ht="15" hidden="false" customHeight="false" outlineLevel="0" collapsed="false">
      <c r="A56" s="17" t="n">
        <v>53</v>
      </c>
      <c r="B56" s="17" t="s">
        <v>151</v>
      </c>
      <c r="C56" s="17" t="s">
        <v>174</v>
      </c>
      <c r="D56" s="17" t="s">
        <v>119</v>
      </c>
      <c r="E56" s="17" t="n">
        <v>1</v>
      </c>
      <c r="F56" s="17" t="n">
        <v>685.8</v>
      </c>
      <c r="G56" s="17" t="n">
        <v>778.2</v>
      </c>
      <c r="H56" s="17" t="n">
        <v>74.4</v>
      </c>
      <c r="I56" s="18" t="n">
        <v>0.875</v>
      </c>
      <c r="J56" s="19" t="n">
        <v>92.7</v>
      </c>
      <c r="K56" s="19" t="n">
        <v>24.1</v>
      </c>
      <c r="L56" s="19" t="n">
        <v>54.9</v>
      </c>
      <c r="M56" s="19" t="n">
        <v>21</v>
      </c>
      <c r="N56" s="19" t="n">
        <v>187.8</v>
      </c>
      <c r="O56" s="19" t="n">
        <v>94.4</v>
      </c>
      <c r="P56" s="20" t="n">
        <v>0.641</v>
      </c>
      <c r="Q56" s="17" t="n">
        <v>0</v>
      </c>
      <c r="R56" s="21"/>
      <c r="S56" s="19" t="n">
        <v>0</v>
      </c>
      <c r="T56" s="17" t="n">
        <v>1</v>
      </c>
      <c r="U56" s="21" t="n">
        <v>6</v>
      </c>
      <c r="V56" s="17" t="n">
        <v>0</v>
      </c>
      <c r="W56" s="17" t="n">
        <v>0</v>
      </c>
      <c r="X56" s="17" t="n">
        <v>0</v>
      </c>
      <c r="Y56" s="19" t="n">
        <v>23.3</v>
      </c>
      <c r="Z56" s="17" t="str">
        <f aca="false">IF(F56&lt;=Constraints!$B$4,"PASS","FAIL")</f>
        <v>PASS</v>
      </c>
      <c r="AA56" s="17" t="str">
        <f aca="false">IF(H56="","PASS",IF(H56&lt;=Constraints!$B$6,"PASS","FAIL"))</f>
        <v>PASS</v>
      </c>
      <c r="AB56" s="17" t="str">
        <f aca="false">IF(I56&gt;=Constraints!$B$7,"PASS","FAIL")</f>
        <v>PASS</v>
      </c>
      <c r="AC56" s="17" t="str">
        <f aca="false">IF(AND(U56&gt;=Constraints!$B$8,V56=0),"PASS","FAIL")</f>
        <v>PASS</v>
      </c>
      <c r="AD56" s="17" t="str">
        <f aca="false">IF(Y56&gt;=Constraints!$B$10-0.000001,"PASS","FAIL")</f>
        <v>PASS</v>
      </c>
      <c r="AE56" s="17" t="str">
        <f aca="false">IF(AND(W56=0,X56=0,G56&lt;=Constraints!$B$5),"PASS","FAIL")</f>
        <v>PASS</v>
      </c>
      <c r="AF56" s="22" t="str">
        <f aca="false">IF(COUNTIF(Z56:AE56,"FAIL")=0,"PASS","FAIL")</f>
        <v>PASS</v>
      </c>
      <c r="AG56" s="23" t="s">
        <v>120</v>
      </c>
    </row>
    <row r="57" customFormat="false" ht="15" hidden="false" customHeight="false" outlineLevel="0" collapsed="false">
      <c r="A57" s="17" t="n">
        <v>54</v>
      </c>
      <c r="B57" s="17" t="s">
        <v>151</v>
      </c>
      <c r="C57" s="17" t="s">
        <v>175</v>
      </c>
      <c r="D57" s="17" t="s">
        <v>122</v>
      </c>
      <c r="E57" s="17" t="n">
        <v>2</v>
      </c>
      <c r="F57" s="17" t="n">
        <v>820.6</v>
      </c>
      <c r="G57" s="17" t="n">
        <v>920.4</v>
      </c>
      <c r="H57" s="17" t="n">
        <v>199.6</v>
      </c>
      <c r="I57" s="18" t="n">
        <v>1</v>
      </c>
      <c r="J57" s="19" t="n">
        <v>89.5</v>
      </c>
      <c r="K57" s="19" t="n">
        <v>32.9</v>
      </c>
      <c r="L57" s="19" t="n">
        <v>52.6</v>
      </c>
      <c r="M57" s="19" t="n">
        <v>14.6</v>
      </c>
      <c r="N57" s="19" t="n">
        <v>340.5</v>
      </c>
      <c r="O57" s="19" t="n">
        <v>91.1</v>
      </c>
      <c r="P57" s="20" t="n">
        <v>0.594</v>
      </c>
      <c r="Q57" s="17" t="n">
        <v>4</v>
      </c>
      <c r="R57" s="21" t="n">
        <v>24.13</v>
      </c>
      <c r="S57" s="19" t="n">
        <v>76.3</v>
      </c>
      <c r="T57" s="17" t="n">
        <v>1</v>
      </c>
      <c r="U57" s="21" t="n">
        <v>6</v>
      </c>
      <c r="V57" s="17" t="n">
        <v>0</v>
      </c>
      <c r="W57" s="17" t="n">
        <v>0</v>
      </c>
      <c r="X57" s="17" t="n">
        <v>0</v>
      </c>
      <c r="Y57" s="19" t="n">
        <v>25.2</v>
      </c>
      <c r="Z57" s="17" t="str">
        <f aca="false">IF(F57&lt;=Constraints!$B$4,"PASS","FAIL")</f>
        <v>PASS</v>
      </c>
      <c r="AA57" s="17" t="str">
        <f aca="false">IF(H57="","PASS",IF(H57&lt;=Constraints!$B$6,"PASS","FAIL"))</f>
        <v>PASS</v>
      </c>
      <c r="AB57" s="17" t="str">
        <f aca="false">IF(I57&gt;=Constraints!$B$7,"PASS","FAIL")</f>
        <v>PASS</v>
      </c>
      <c r="AC57" s="17" t="str">
        <f aca="false">IF(AND(U57&gt;=Constraints!$B$8,V57=0),"PASS","FAIL")</f>
        <v>PASS</v>
      </c>
      <c r="AD57" s="17" t="str">
        <f aca="false">IF(Y57&gt;=Constraints!$B$10-0.000001,"PASS","FAIL")</f>
        <v>PASS</v>
      </c>
      <c r="AE57" s="17" t="str">
        <f aca="false">IF(AND(W57=0,X57=0,G57&lt;=Constraints!$B$5),"PASS","FAIL")</f>
        <v>PASS</v>
      </c>
      <c r="AF57" s="22" t="str">
        <f aca="false">IF(COUNTIF(Z57:AE57,"FAIL")=0,"PASS","FAIL")</f>
        <v>PASS</v>
      </c>
      <c r="AG57" s="23" t="s">
        <v>120</v>
      </c>
    </row>
    <row r="58" customFormat="false" ht="15" hidden="false" customHeight="false" outlineLevel="0" collapsed="false">
      <c r="A58" s="17" t="n">
        <v>55</v>
      </c>
      <c r="B58" s="17" t="s">
        <v>151</v>
      </c>
      <c r="C58" s="17" t="s">
        <v>176</v>
      </c>
      <c r="D58" s="17" t="s">
        <v>119</v>
      </c>
      <c r="E58" s="17" t="n">
        <v>1</v>
      </c>
      <c r="F58" s="17" t="n">
        <v>550</v>
      </c>
      <c r="G58" s="17" t="n">
        <v>699.9</v>
      </c>
      <c r="H58" s="17" t="n">
        <v>29</v>
      </c>
      <c r="I58" s="18" t="n">
        <v>1</v>
      </c>
      <c r="J58" s="19" t="n">
        <v>93.3</v>
      </c>
      <c r="K58" s="19" t="n">
        <v>22.6</v>
      </c>
      <c r="L58" s="19" t="n">
        <v>56.3</v>
      </c>
      <c r="M58" s="19" t="n">
        <v>21.1</v>
      </c>
      <c r="N58" s="19" t="n">
        <v>144.2</v>
      </c>
      <c r="O58" s="19" t="n">
        <v>95.3</v>
      </c>
      <c r="P58" s="20" t="n">
        <v>0.617</v>
      </c>
      <c r="Q58" s="17" t="n">
        <v>0</v>
      </c>
      <c r="R58" s="21"/>
      <c r="S58" s="19" t="n">
        <v>0</v>
      </c>
      <c r="T58" s="17" t="n">
        <v>1</v>
      </c>
      <c r="U58" s="21" t="n">
        <v>6</v>
      </c>
      <c r="V58" s="17" t="n">
        <v>0</v>
      </c>
      <c r="W58" s="17" t="n">
        <v>0</v>
      </c>
      <c r="X58" s="17" t="n">
        <v>0</v>
      </c>
      <c r="Y58" s="19" t="n">
        <v>26.7</v>
      </c>
      <c r="Z58" s="17" t="str">
        <f aca="false">IF(F58&lt;=Constraints!$B$4,"PASS","FAIL")</f>
        <v>PASS</v>
      </c>
      <c r="AA58" s="17" t="str">
        <f aca="false">IF(H58="","PASS",IF(H58&lt;=Constraints!$B$6,"PASS","FAIL"))</f>
        <v>PASS</v>
      </c>
      <c r="AB58" s="17" t="str">
        <f aca="false">IF(I58&gt;=Constraints!$B$7,"PASS","FAIL")</f>
        <v>PASS</v>
      </c>
      <c r="AC58" s="17" t="str">
        <f aca="false">IF(AND(U58&gt;=Constraints!$B$8,V58=0),"PASS","FAIL")</f>
        <v>PASS</v>
      </c>
      <c r="AD58" s="17" t="str">
        <f aca="false">IF(Y58&gt;=Constraints!$B$10-0.000001,"PASS","FAIL")</f>
        <v>PASS</v>
      </c>
      <c r="AE58" s="17" t="str">
        <f aca="false">IF(AND(W58=0,X58=0,G58&lt;=Constraints!$B$5),"PASS","FAIL")</f>
        <v>PASS</v>
      </c>
      <c r="AF58" s="22" t="str">
        <f aca="false">IF(COUNTIF(Z58:AE58,"FAIL")=0,"PASS","FAIL")</f>
        <v>PASS</v>
      </c>
      <c r="AG58" s="23" t="s">
        <v>120</v>
      </c>
    </row>
    <row r="59" customFormat="false" ht="15" hidden="false" customHeight="false" outlineLevel="0" collapsed="false">
      <c r="A59" s="17" t="n">
        <v>56</v>
      </c>
      <c r="B59" s="17" t="s">
        <v>151</v>
      </c>
      <c r="C59" s="17" t="s">
        <v>177</v>
      </c>
      <c r="D59" s="17" t="s">
        <v>119</v>
      </c>
      <c r="E59" s="17" t="n">
        <v>4</v>
      </c>
      <c r="F59" s="17" t="n">
        <v>589.9</v>
      </c>
      <c r="G59" s="17" t="n">
        <v>717.4</v>
      </c>
      <c r="H59" s="17" t="n">
        <v>140.8</v>
      </c>
      <c r="I59" s="18" t="n">
        <v>1</v>
      </c>
      <c r="J59" s="19" t="n">
        <v>97.8</v>
      </c>
      <c r="K59" s="19" t="n">
        <v>9</v>
      </c>
      <c r="L59" s="19" t="n">
        <v>68.3</v>
      </c>
      <c r="M59" s="19" t="n">
        <v>22.7</v>
      </c>
      <c r="N59" s="19" t="n">
        <v>58.9</v>
      </c>
      <c r="O59" s="19" t="n">
        <v>98.1</v>
      </c>
      <c r="P59" s="20" t="n">
        <v>0.593</v>
      </c>
      <c r="Q59" s="17" t="n">
        <v>0</v>
      </c>
      <c r="R59" s="21"/>
      <c r="S59" s="19" t="n">
        <v>0</v>
      </c>
      <c r="T59" s="17" t="n">
        <v>1</v>
      </c>
      <c r="U59" s="21" t="n">
        <v>6</v>
      </c>
      <c r="V59" s="17" t="n">
        <v>0</v>
      </c>
      <c r="W59" s="17" t="n">
        <v>0</v>
      </c>
      <c r="X59" s="17" t="n">
        <v>0</v>
      </c>
      <c r="Y59" s="19" t="n">
        <v>26.4</v>
      </c>
      <c r="Z59" s="17" t="str">
        <f aca="false">IF(F59&lt;=Constraints!$B$4,"PASS","FAIL")</f>
        <v>PASS</v>
      </c>
      <c r="AA59" s="17" t="str">
        <f aca="false">IF(H59="","PASS",IF(H59&lt;=Constraints!$B$6,"PASS","FAIL"))</f>
        <v>PASS</v>
      </c>
      <c r="AB59" s="17" t="str">
        <f aca="false">IF(I59&gt;=Constraints!$B$7,"PASS","FAIL")</f>
        <v>PASS</v>
      </c>
      <c r="AC59" s="17" t="str">
        <f aca="false">IF(AND(U59&gt;=Constraints!$B$8,V59=0),"PASS","FAIL")</f>
        <v>PASS</v>
      </c>
      <c r="AD59" s="17" t="str">
        <f aca="false">IF(Y59&gt;=Constraints!$B$10-0.000001,"PASS","FAIL")</f>
        <v>PASS</v>
      </c>
      <c r="AE59" s="17" t="str">
        <f aca="false">IF(AND(W59=0,X59=0,G59&lt;=Constraints!$B$5),"PASS","FAIL")</f>
        <v>PASS</v>
      </c>
      <c r="AF59" s="22" t="str">
        <f aca="false">IF(COUNTIF(Z59:AE59,"FAIL")=0,"PASS","FAIL")</f>
        <v>PASS</v>
      </c>
      <c r="AG59" s="23" t="s">
        <v>120</v>
      </c>
    </row>
    <row r="60" customFormat="false" ht="15" hidden="false" customHeight="false" outlineLevel="0" collapsed="false">
      <c r="A60" s="17" t="n">
        <v>57</v>
      </c>
      <c r="B60" s="17" t="s">
        <v>151</v>
      </c>
      <c r="C60" s="17" t="s">
        <v>178</v>
      </c>
      <c r="D60" s="17" t="s">
        <v>122</v>
      </c>
      <c r="E60" s="17" t="n">
        <v>3</v>
      </c>
      <c r="F60" s="17" t="n">
        <v>478.2</v>
      </c>
      <c r="G60" s="17" t="n">
        <v>598.7</v>
      </c>
      <c r="H60" s="17" t="n">
        <v>126</v>
      </c>
      <c r="I60" s="18" t="n">
        <v>1</v>
      </c>
      <c r="J60" s="19" t="n">
        <v>94</v>
      </c>
      <c r="K60" s="19" t="n">
        <v>14.4</v>
      </c>
      <c r="L60" s="19" t="n">
        <v>56.2</v>
      </c>
      <c r="M60" s="19" t="n">
        <v>29.4</v>
      </c>
      <c r="N60" s="19" t="n">
        <v>128.6</v>
      </c>
      <c r="O60" s="19" t="n">
        <v>94.3</v>
      </c>
      <c r="P60" s="20" t="n">
        <v>0.599</v>
      </c>
      <c r="Q60" s="17" t="n">
        <v>4</v>
      </c>
      <c r="R60" s="21" t="n">
        <v>28.1</v>
      </c>
      <c r="S60" s="19" t="n">
        <v>74.1</v>
      </c>
      <c r="T60" s="17" t="n">
        <v>0</v>
      </c>
      <c r="U60" s="21" t="n">
        <v>6</v>
      </c>
      <c r="V60" s="17" t="n">
        <v>0</v>
      </c>
      <c r="W60" s="17" t="n">
        <v>0</v>
      </c>
      <c r="X60" s="17" t="n">
        <v>0</v>
      </c>
      <c r="Y60" s="19" t="n">
        <v>31.3</v>
      </c>
      <c r="Z60" s="17" t="str">
        <f aca="false">IF(F60&lt;=Constraints!$B$4,"PASS","FAIL")</f>
        <v>PASS</v>
      </c>
      <c r="AA60" s="17" t="str">
        <f aca="false">IF(H60="","PASS",IF(H60&lt;=Constraints!$B$6,"PASS","FAIL"))</f>
        <v>PASS</v>
      </c>
      <c r="AB60" s="17" t="str">
        <f aca="false">IF(I60&gt;=Constraints!$B$7,"PASS","FAIL")</f>
        <v>PASS</v>
      </c>
      <c r="AC60" s="17" t="str">
        <f aca="false">IF(AND(U60&gt;=Constraints!$B$8,V60=0),"PASS","FAIL")</f>
        <v>PASS</v>
      </c>
      <c r="AD60" s="17" t="str">
        <f aca="false">IF(Y60&gt;=Constraints!$B$10-0.000001,"PASS","FAIL")</f>
        <v>PASS</v>
      </c>
      <c r="AE60" s="17" t="str">
        <f aca="false">IF(AND(W60=0,X60=0,G60&lt;=Constraints!$B$5),"PASS","FAIL")</f>
        <v>PASS</v>
      </c>
      <c r="AF60" s="22" t="str">
        <f aca="false">IF(COUNTIF(Z60:AE60,"FAIL")=0,"PASS","FAIL")</f>
        <v>PASS</v>
      </c>
      <c r="AG60" s="23" t="s">
        <v>120</v>
      </c>
    </row>
    <row r="61" customFormat="false" ht="15" hidden="false" customHeight="false" outlineLevel="0" collapsed="false">
      <c r="A61" s="17" t="n">
        <v>58</v>
      </c>
      <c r="B61" s="17" t="s">
        <v>151</v>
      </c>
      <c r="C61" s="17" t="s">
        <v>179</v>
      </c>
      <c r="D61" s="17" t="s">
        <v>119</v>
      </c>
      <c r="E61" s="17" t="n">
        <v>3</v>
      </c>
      <c r="F61" s="17" t="n">
        <v>377.5</v>
      </c>
      <c r="G61" s="17" t="n">
        <v>524.3</v>
      </c>
      <c r="H61" s="17" t="n">
        <v>54.9</v>
      </c>
      <c r="I61" s="18" t="n">
        <v>0.875</v>
      </c>
      <c r="J61" s="19" t="n">
        <v>81.9</v>
      </c>
      <c r="K61" s="19" t="n">
        <v>44.2</v>
      </c>
      <c r="L61" s="19" t="n">
        <v>27.6</v>
      </c>
      <c r="M61" s="19" t="n">
        <v>28.2</v>
      </c>
      <c r="N61" s="19" t="n">
        <v>333.5</v>
      </c>
      <c r="O61" s="19" t="n">
        <v>85.2</v>
      </c>
      <c r="P61" s="20" t="n">
        <v>0.703</v>
      </c>
      <c r="Q61" s="17" t="n">
        <v>0</v>
      </c>
      <c r="R61" s="21"/>
      <c r="S61" s="19" t="n">
        <v>0</v>
      </c>
      <c r="T61" s="17" t="n">
        <v>1</v>
      </c>
      <c r="U61" s="21" t="n">
        <v>6</v>
      </c>
      <c r="V61" s="17" t="n">
        <v>0</v>
      </c>
      <c r="W61" s="17" t="n">
        <v>0</v>
      </c>
      <c r="X61" s="17" t="n">
        <v>0</v>
      </c>
      <c r="Y61" s="19" t="n">
        <v>26.8</v>
      </c>
      <c r="Z61" s="17" t="str">
        <f aca="false">IF(F61&lt;=Constraints!$B$4,"PASS","FAIL")</f>
        <v>PASS</v>
      </c>
      <c r="AA61" s="17" t="str">
        <f aca="false">IF(H61="","PASS",IF(H61&lt;=Constraints!$B$6,"PASS","FAIL"))</f>
        <v>PASS</v>
      </c>
      <c r="AB61" s="17" t="str">
        <f aca="false">IF(I61&gt;=Constraints!$B$7,"PASS","FAIL")</f>
        <v>PASS</v>
      </c>
      <c r="AC61" s="17" t="str">
        <f aca="false">IF(AND(U61&gt;=Constraints!$B$8,V61=0),"PASS","FAIL")</f>
        <v>PASS</v>
      </c>
      <c r="AD61" s="17" t="str">
        <f aca="false">IF(Y61&gt;=Constraints!$B$10-0.000001,"PASS","FAIL")</f>
        <v>PASS</v>
      </c>
      <c r="AE61" s="17" t="str">
        <f aca="false">IF(AND(W61=0,X61=0,G61&lt;=Constraints!$B$5),"PASS","FAIL")</f>
        <v>PASS</v>
      </c>
      <c r="AF61" s="22" t="str">
        <f aca="false">IF(COUNTIF(Z61:AE61,"FAIL")=0,"PASS","FAIL")</f>
        <v>PASS</v>
      </c>
      <c r="AG61" s="23" t="s">
        <v>120</v>
      </c>
    </row>
    <row r="62" customFormat="false" ht="15" hidden="false" customHeight="false" outlineLevel="0" collapsed="false">
      <c r="A62" s="17" t="n">
        <v>59</v>
      </c>
      <c r="B62" s="17" t="s">
        <v>151</v>
      </c>
      <c r="C62" s="17" t="s">
        <v>180</v>
      </c>
      <c r="D62" s="17" t="s">
        <v>119</v>
      </c>
      <c r="E62" s="17" t="n">
        <v>1</v>
      </c>
      <c r="F62" s="17" t="n">
        <v>355.3</v>
      </c>
      <c r="G62" s="17" t="n">
        <v>419.5</v>
      </c>
      <c r="H62" s="17" t="n">
        <v>44.9</v>
      </c>
      <c r="I62" s="18" t="n">
        <v>0.875</v>
      </c>
      <c r="J62" s="19" t="n">
        <v>88.8</v>
      </c>
      <c r="K62" s="19" t="n">
        <v>37.3</v>
      </c>
      <c r="L62" s="19" t="n">
        <v>18.3</v>
      </c>
      <c r="M62" s="19" t="n">
        <v>44.4</v>
      </c>
      <c r="N62" s="19" t="n">
        <v>188.9</v>
      </c>
      <c r="O62" s="19" t="n">
        <v>90.4</v>
      </c>
      <c r="P62" s="20" t="n">
        <v>0.589</v>
      </c>
      <c r="Q62" s="17" t="n">
        <v>0</v>
      </c>
      <c r="R62" s="21"/>
      <c r="S62" s="19" t="n">
        <v>0</v>
      </c>
      <c r="T62" s="17" t="n">
        <v>1</v>
      </c>
      <c r="U62" s="21" t="n">
        <v>6</v>
      </c>
      <c r="V62" s="17" t="n">
        <v>0</v>
      </c>
      <c r="W62" s="17" t="n">
        <v>0</v>
      </c>
      <c r="X62" s="17" t="n">
        <v>0</v>
      </c>
      <c r="Y62" s="19" t="n">
        <v>22.8</v>
      </c>
      <c r="Z62" s="17" t="str">
        <f aca="false">IF(F62&lt;=Constraints!$B$4,"PASS","FAIL")</f>
        <v>PASS</v>
      </c>
      <c r="AA62" s="17" t="str">
        <f aca="false">IF(H62="","PASS",IF(H62&lt;=Constraints!$B$6,"PASS","FAIL"))</f>
        <v>PASS</v>
      </c>
      <c r="AB62" s="17" t="str">
        <f aca="false">IF(I62&gt;=Constraints!$B$7,"PASS","FAIL")</f>
        <v>PASS</v>
      </c>
      <c r="AC62" s="17" t="str">
        <f aca="false">IF(AND(U62&gt;=Constraints!$B$8,V62=0),"PASS","FAIL")</f>
        <v>PASS</v>
      </c>
      <c r="AD62" s="17" t="str">
        <f aca="false">IF(Y62&gt;=Constraints!$B$10-0.000001,"PASS","FAIL")</f>
        <v>PASS</v>
      </c>
      <c r="AE62" s="17" t="str">
        <f aca="false">IF(AND(W62=0,X62=0,G62&lt;=Constraints!$B$5),"PASS","FAIL")</f>
        <v>PASS</v>
      </c>
      <c r="AF62" s="22" t="str">
        <f aca="false">IF(COUNTIF(Z62:AE62,"FAIL")=0,"PASS","FAIL")</f>
        <v>PASS</v>
      </c>
      <c r="AG62" s="23" t="s">
        <v>120</v>
      </c>
    </row>
    <row r="63" customFormat="false" ht="15" hidden="false" customHeight="false" outlineLevel="0" collapsed="false">
      <c r="A63" s="17" t="n">
        <v>60</v>
      </c>
      <c r="B63" s="17" t="s">
        <v>151</v>
      </c>
      <c r="C63" s="17" t="s">
        <v>181</v>
      </c>
      <c r="D63" s="17" t="s">
        <v>122</v>
      </c>
      <c r="E63" s="17" t="n">
        <v>4</v>
      </c>
      <c r="F63" s="17" t="n">
        <v>599.9</v>
      </c>
      <c r="G63" s="17" t="n">
        <v>735.9</v>
      </c>
      <c r="H63" s="17" t="n">
        <v>117.6</v>
      </c>
      <c r="I63" s="18" t="n">
        <v>1</v>
      </c>
      <c r="J63" s="19" t="n">
        <v>96.6</v>
      </c>
      <c r="K63" s="19" t="n">
        <v>7.3</v>
      </c>
      <c r="L63" s="19" t="n">
        <v>74.1</v>
      </c>
      <c r="M63" s="19" t="n">
        <v>18.6</v>
      </c>
      <c r="N63" s="19" t="n">
        <v>98.6</v>
      </c>
      <c r="O63" s="19" t="n">
        <v>96.1</v>
      </c>
      <c r="P63" s="20" t="n">
        <v>0.611</v>
      </c>
      <c r="Q63" s="17" t="n">
        <v>4</v>
      </c>
      <c r="R63" s="21" t="n">
        <v>21.57</v>
      </c>
      <c r="S63" s="19" t="n">
        <v>66</v>
      </c>
      <c r="T63" s="17" t="n">
        <v>0</v>
      </c>
      <c r="U63" s="21" t="n">
        <v>6</v>
      </c>
      <c r="V63" s="17" t="n">
        <v>0</v>
      </c>
      <c r="W63" s="17" t="n">
        <v>0</v>
      </c>
      <c r="X63" s="17" t="n">
        <v>0</v>
      </c>
      <c r="Y63" s="19" t="n">
        <v>63.6</v>
      </c>
      <c r="Z63" s="17" t="str">
        <f aca="false">IF(F63&lt;=Constraints!$B$4,"PASS","FAIL")</f>
        <v>PASS</v>
      </c>
      <c r="AA63" s="17" t="str">
        <f aca="false">IF(H63="","PASS",IF(H63&lt;=Constraints!$B$6,"PASS","FAIL"))</f>
        <v>PASS</v>
      </c>
      <c r="AB63" s="17" t="str">
        <f aca="false">IF(I63&gt;=Constraints!$B$7,"PASS","FAIL")</f>
        <v>PASS</v>
      </c>
      <c r="AC63" s="17" t="str">
        <f aca="false">IF(AND(U63&gt;=Constraints!$B$8,V63=0),"PASS","FAIL")</f>
        <v>PASS</v>
      </c>
      <c r="AD63" s="17" t="str">
        <f aca="false">IF(Y63&gt;=Constraints!$B$10-0.000001,"PASS","FAIL")</f>
        <v>PASS</v>
      </c>
      <c r="AE63" s="17" t="str">
        <f aca="false">IF(AND(W63=0,X63=0,G63&lt;=Constraints!$B$5),"PASS","FAIL")</f>
        <v>PASS</v>
      </c>
      <c r="AF63" s="22" t="str">
        <f aca="false">IF(COUNTIF(Z63:AE63,"FAIL")=0,"PASS","FAIL")</f>
        <v>PASS</v>
      </c>
      <c r="AG63" s="23" t="s">
        <v>120</v>
      </c>
    </row>
    <row r="65" customFormat="false" ht="15" hidden="false" customHeight="false" outlineLevel="0" collapsed="false">
      <c r="A65" s="12" t="s">
        <v>182</v>
      </c>
    </row>
  </sheetData>
  <conditionalFormatting sqref="Z4:AG6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3" t="s">
        <v>183</v>
      </c>
    </row>
    <row r="3" customFormat="false" ht="42" hidden="false" customHeight="true" outlineLevel="0" collapsed="false">
      <c r="A3" s="3" t="s">
        <v>2</v>
      </c>
      <c r="B3" s="3" t="s">
        <v>98</v>
      </c>
      <c r="C3" s="3" t="s">
        <v>184</v>
      </c>
      <c r="D3" s="3" t="s">
        <v>185</v>
      </c>
      <c r="E3" s="3" t="s">
        <v>186</v>
      </c>
      <c r="F3" s="3" t="s">
        <v>187</v>
      </c>
    </row>
    <row r="4" customFormat="false" ht="15" hidden="false" customHeight="false" outlineLevel="0" collapsed="false">
      <c r="A4" s="10" t="s">
        <v>188</v>
      </c>
      <c r="B4" s="10" t="s">
        <v>117</v>
      </c>
      <c r="C4" s="4" t="n">
        <v>30</v>
      </c>
      <c r="D4" s="4" t="n">
        <v>30</v>
      </c>
      <c r="E4" s="4" t="n">
        <v>28</v>
      </c>
      <c r="F4" s="4" t="n">
        <v>4</v>
      </c>
    </row>
    <row r="5" customFormat="false" ht="15" hidden="false" customHeight="false" outlineLevel="0" collapsed="false">
      <c r="A5" s="10" t="s">
        <v>189</v>
      </c>
      <c r="B5" s="10" t="s">
        <v>117</v>
      </c>
      <c r="C5" s="4" t="n">
        <v>30</v>
      </c>
      <c r="D5" s="4" t="n">
        <v>30</v>
      </c>
      <c r="E5" s="4" t="n">
        <v>30</v>
      </c>
      <c r="F5" s="4" t="n">
        <v>22</v>
      </c>
    </row>
    <row r="6" customFormat="false" ht="15" hidden="false" customHeight="false" outlineLevel="0" collapsed="false">
      <c r="A6" s="10" t="s">
        <v>190</v>
      </c>
      <c r="B6" s="10" t="s">
        <v>117</v>
      </c>
      <c r="C6" s="4" t="n">
        <v>514.1</v>
      </c>
      <c r="D6" s="4" t="n">
        <v>619.9</v>
      </c>
      <c r="E6" s="4" t="n">
        <v>560.3</v>
      </c>
      <c r="F6" s="4" t="n">
        <v>738.7</v>
      </c>
    </row>
    <row r="7" customFormat="false" ht="15" hidden="false" customHeight="false" outlineLevel="0" collapsed="false">
      <c r="A7" s="10" t="s">
        <v>191</v>
      </c>
      <c r="B7" s="10" t="s">
        <v>117</v>
      </c>
      <c r="C7" s="4" t="n">
        <v>760.3</v>
      </c>
      <c r="D7" s="4" t="n">
        <v>824.6</v>
      </c>
      <c r="E7" s="4" t="n">
        <v>1066</v>
      </c>
      <c r="F7" s="4" t="n">
        <v>2263.3</v>
      </c>
    </row>
    <row r="8" customFormat="false" ht="15" hidden="false" customHeight="false" outlineLevel="0" collapsed="false">
      <c r="A8" s="10" t="s">
        <v>192</v>
      </c>
      <c r="B8" s="10" t="s">
        <v>117</v>
      </c>
      <c r="C8" s="4" t="n">
        <v>145.6</v>
      </c>
      <c r="D8" s="4" t="n">
        <v>128.1</v>
      </c>
      <c r="E8" s="4" t="n">
        <v>142.9</v>
      </c>
      <c r="F8" s="4" t="n">
        <v>1899.8</v>
      </c>
    </row>
    <row r="9" customFormat="false" ht="15" hidden="false" customHeight="false" outlineLevel="0" collapsed="false">
      <c r="A9" s="10" t="s">
        <v>193</v>
      </c>
      <c r="B9" s="10" t="s">
        <v>117</v>
      </c>
      <c r="C9" s="4" t="n">
        <v>94</v>
      </c>
      <c r="D9" s="4" t="n">
        <v>91.8</v>
      </c>
      <c r="E9" s="4" t="n">
        <v>93.4</v>
      </c>
      <c r="F9" s="4" t="n">
        <v>43.4</v>
      </c>
    </row>
    <row r="10" customFormat="false" ht="15" hidden="false" customHeight="false" outlineLevel="0" collapsed="false">
      <c r="A10" s="10" t="s">
        <v>194</v>
      </c>
      <c r="B10" s="10" t="s">
        <v>117</v>
      </c>
      <c r="C10" s="4" t="n">
        <v>90</v>
      </c>
      <c r="D10" s="4" t="n">
        <v>85.9</v>
      </c>
      <c r="E10" s="4" t="n">
        <v>79.7</v>
      </c>
      <c r="F10" s="4" t="n">
        <v>19.9</v>
      </c>
    </row>
    <row r="11" customFormat="false" ht="15" hidden="false" customHeight="false" outlineLevel="0" collapsed="false">
      <c r="A11" s="10" t="s">
        <v>195</v>
      </c>
      <c r="B11" s="10" t="s">
        <v>117</v>
      </c>
      <c r="C11" s="4" t="n">
        <v>1.2</v>
      </c>
      <c r="D11" s="4" t="n">
        <v>0</v>
      </c>
      <c r="E11" s="4" t="n">
        <v>0.5</v>
      </c>
      <c r="F11" s="4" t="n">
        <v>1.1</v>
      </c>
    </row>
    <row r="12" customFormat="false" ht="15" hidden="false" customHeight="false" outlineLevel="0" collapsed="false">
      <c r="A12" s="10" t="s">
        <v>196</v>
      </c>
      <c r="B12" s="10" t="s">
        <v>117</v>
      </c>
      <c r="C12" s="4" t="n">
        <v>22.14</v>
      </c>
      <c r="D12" s="4" t="s">
        <v>197</v>
      </c>
      <c r="E12" s="4" t="n">
        <v>19.01</v>
      </c>
      <c r="F12" s="4" t="n">
        <v>52.1</v>
      </c>
    </row>
    <row r="13" customFormat="false" ht="15" hidden="false" customHeight="false" outlineLevel="0" collapsed="false">
      <c r="A13" s="10" t="s">
        <v>198</v>
      </c>
      <c r="B13" s="10" t="s">
        <v>117</v>
      </c>
      <c r="C13" s="4" t="n">
        <v>0</v>
      </c>
      <c r="D13" s="4" t="n">
        <v>0</v>
      </c>
      <c r="E13" s="4" t="n">
        <v>0</v>
      </c>
      <c r="F13" s="4" t="n">
        <v>0</v>
      </c>
    </row>
    <row r="14" customFormat="false" ht="15" hidden="false" customHeight="false" outlineLevel="0" collapsed="false">
      <c r="A14" s="10" t="s">
        <v>199</v>
      </c>
      <c r="B14" s="10" t="s">
        <v>117</v>
      </c>
      <c r="C14" s="4" t="n">
        <v>0</v>
      </c>
      <c r="D14" s="4" t="n">
        <v>0</v>
      </c>
      <c r="E14" s="4" t="n">
        <v>0</v>
      </c>
      <c r="F14" s="4" t="n">
        <v>0</v>
      </c>
    </row>
    <row r="16" customFormat="false" ht="15" hidden="false" customHeight="false" outlineLevel="0" collapsed="false">
      <c r="A16" s="10" t="s">
        <v>188</v>
      </c>
      <c r="B16" s="10" t="s">
        <v>151</v>
      </c>
      <c r="C16" s="4" t="n">
        <v>30</v>
      </c>
      <c r="D16" s="4" t="n">
        <v>27</v>
      </c>
      <c r="E16" s="4" t="n">
        <v>30</v>
      </c>
      <c r="F16" s="4" t="n">
        <v>4</v>
      </c>
    </row>
    <row r="17" customFormat="false" ht="15" hidden="false" customHeight="false" outlineLevel="0" collapsed="false">
      <c r="A17" s="10" t="s">
        <v>189</v>
      </c>
      <c r="B17" s="10" t="s">
        <v>151</v>
      </c>
      <c r="C17" s="4" t="n">
        <v>30</v>
      </c>
      <c r="D17" s="4" t="n">
        <v>30</v>
      </c>
      <c r="E17" s="4" t="n">
        <v>30</v>
      </c>
      <c r="F17" s="4" t="n">
        <v>27</v>
      </c>
    </row>
    <row r="18" customFormat="false" ht="15" hidden="false" customHeight="false" outlineLevel="0" collapsed="false">
      <c r="A18" s="10" t="s">
        <v>190</v>
      </c>
      <c r="B18" s="10" t="s">
        <v>151</v>
      </c>
      <c r="C18" s="4" t="n">
        <v>589.9</v>
      </c>
      <c r="D18" s="4" t="n">
        <v>640.7</v>
      </c>
      <c r="E18" s="4" t="n">
        <v>645.6</v>
      </c>
      <c r="F18" s="4" t="n">
        <v>828</v>
      </c>
    </row>
    <row r="19" customFormat="false" ht="15" hidden="false" customHeight="false" outlineLevel="0" collapsed="false">
      <c r="A19" s="10" t="s">
        <v>191</v>
      </c>
      <c r="B19" s="10" t="s">
        <v>151</v>
      </c>
      <c r="C19" s="4" t="n">
        <v>871.5</v>
      </c>
      <c r="D19" s="4" t="n">
        <v>907.9</v>
      </c>
      <c r="E19" s="4" t="n">
        <v>891</v>
      </c>
      <c r="F19" s="4" t="n">
        <v>2356.3</v>
      </c>
    </row>
    <row r="20" customFormat="false" ht="15" hidden="false" customHeight="false" outlineLevel="0" collapsed="false">
      <c r="A20" s="10" t="s">
        <v>192</v>
      </c>
      <c r="B20" s="10" t="s">
        <v>151</v>
      </c>
      <c r="C20" s="4" t="n">
        <v>217.7</v>
      </c>
      <c r="D20" s="4" t="n">
        <v>287.7</v>
      </c>
      <c r="E20" s="4" t="n">
        <v>227.8</v>
      </c>
      <c r="F20" s="4" t="n">
        <v>757.7</v>
      </c>
    </row>
    <row r="21" customFormat="false" ht="15" hidden="false" customHeight="false" outlineLevel="0" collapsed="false">
      <c r="A21" s="10" t="s">
        <v>193</v>
      </c>
      <c r="B21" s="10" t="s">
        <v>151</v>
      </c>
      <c r="C21" s="4" t="n">
        <v>93.1</v>
      </c>
      <c r="D21" s="4" t="n">
        <v>91.8</v>
      </c>
      <c r="E21" s="4" t="n">
        <v>92.6</v>
      </c>
      <c r="F21" s="4" t="n">
        <v>44.6</v>
      </c>
    </row>
    <row r="22" customFormat="false" ht="15" hidden="false" customHeight="false" outlineLevel="0" collapsed="false">
      <c r="A22" s="10" t="s">
        <v>194</v>
      </c>
      <c r="B22" s="10" t="s">
        <v>151</v>
      </c>
      <c r="C22" s="4" t="n">
        <v>74.9</v>
      </c>
      <c r="D22" s="4" t="n">
        <v>85.6</v>
      </c>
      <c r="E22" s="4" t="n">
        <v>76.2</v>
      </c>
      <c r="F22" s="4" t="n">
        <v>17.2</v>
      </c>
    </row>
    <row r="23" customFormat="false" ht="15" hidden="false" customHeight="false" outlineLevel="0" collapsed="false">
      <c r="A23" s="10" t="s">
        <v>195</v>
      </c>
      <c r="B23" s="10" t="s">
        <v>151</v>
      </c>
      <c r="C23" s="4" t="n">
        <v>0.9</v>
      </c>
      <c r="D23" s="4" t="n">
        <v>0</v>
      </c>
      <c r="E23" s="4" t="n">
        <v>0.2</v>
      </c>
      <c r="F23" s="4" t="n">
        <v>0.7</v>
      </c>
    </row>
    <row r="24" customFormat="false" ht="15" hidden="false" customHeight="false" outlineLevel="0" collapsed="false">
      <c r="A24" s="10" t="s">
        <v>196</v>
      </c>
      <c r="B24" s="10" t="s">
        <v>151</v>
      </c>
      <c r="C24" s="4" t="n">
        <v>20.8</v>
      </c>
      <c r="D24" s="4" t="s">
        <v>197</v>
      </c>
      <c r="E24" s="4" t="n">
        <v>6.46</v>
      </c>
      <c r="F24" s="4" t="n">
        <v>66.43</v>
      </c>
    </row>
    <row r="25" customFormat="false" ht="15" hidden="false" customHeight="false" outlineLevel="0" collapsed="false">
      <c r="A25" s="10" t="s">
        <v>198</v>
      </c>
      <c r="B25" s="10" t="s">
        <v>151</v>
      </c>
      <c r="C25" s="4" t="n">
        <v>0</v>
      </c>
      <c r="D25" s="4" t="n">
        <v>0</v>
      </c>
      <c r="E25" s="4" t="n">
        <v>0</v>
      </c>
      <c r="F25" s="4" t="n">
        <v>0</v>
      </c>
    </row>
    <row r="26" customFormat="false" ht="15" hidden="false" customHeight="false" outlineLevel="0" collapsed="false">
      <c r="A26" s="10" t="s">
        <v>199</v>
      </c>
      <c r="B26" s="10" t="s">
        <v>151</v>
      </c>
      <c r="C26" s="4" t="n">
        <v>0</v>
      </c>
      <c r="D26" s="4" t="n">
        <v>0</v>
      </c>
      <c r="E26" s="4" t="n">
        <v>0</v>
      </c>
      <c r="F26" s="4" t="n">
        <v>0</v>
      </c>
    </row>
    <row r="28" customFormat="false" ht="15" hidden="false" customHeight="false" outlineLevel="0" collapsed="false">
      <c r="A28" s="12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201</v>
      </c>
    </row>
    <row r="2" customFormat="false" ht="15" hidden="false" customHeight="false" outlineLevel="0" collapsed="false">
      <c r="A2" s="10" t="s">
        <v>202</v>
      </c>
    </row>
    <row r="3" customFormat="false" ht="15" hidden="false" customHeight="false" outlineLevel="0" collapsed="false">
      <c r="A3" s="10" t="s">
        <v>203</v>
      </c>
    </row>
    <row r="4" customFormat="false" ht="15" hidden="false" customHeight="false" outlineLevel="0" collapsed="false">
      <c r="A4" s="10" t="s">
        <v>204</v>
      </c>
    </row>
    <row r="5" customFormat="false" ht="15" hidden="false" customHeight="false" outlineLevel="0" collapsed="false">
      <c r="A5" s="10" t="s">
        <v>205</v>
      </c>
    </row>
    <row r="6" customFormat="false" ht="15" hidden="false" customHeight="false" outlineLevel="0" collapsed="false">
      <c r="A6" s="10" t="s">
        <v>206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1" t="s">
        <v>207</v>
      </c>
    </row>
    <row r="9" customFormat="false" ht="15" hidden="false" customHeight="false" outlineLevel="0" collapsed="false">
      <c r="A9" s="10" t="s">
        <v>208</v>
      </c>
    </row>
    <row r="10" customFormat="false" ht="15" hidden="false" customHeight="false" outlineLevel="0" collapsed="false">
      <c r="A10" s="10" t="s">
        <v>209</v>
      </c>
    </row>
    <row r="11" customFormat="false" ht="15" hidden="false" customHeight="false" outlineLevel="0" collapsed="false">
      <c r="A11" s="10" t="s">
        <v>210</v>
      </c>
    </row>
    <row r="12" customFormat="false" ht="15" hidden="false" customHeight="false" outlineLevel="0" collapsed="false">
      <c r="A12" s="10" t="s">
        <v>211</v>
      </c>
    </row>
    <row r="13" customFormat="false" ht="15" hidden="false" customHeight="false" outlineLevel="0" collapsed="false">
      <c r="A13" s="10" t="s">
        <v>212</v>
      </c>
    </row>
    <row r="14" customFormat="false" ht="15" hidden="false" customHeight="false" outlineLevel="0" collapsed="false">
      <c r="A14" s="10"/>
    </row>
    <row r="15" customFormat="false" ht="15" hidden="false" customHeight="false" outlineLevel="0" collapsed="false">
      <c r="A15" s="10" t="s">
        <v>213</v>
      </c>
    </row>
    <row r="16" customFormat="false" ht="15" hidden="false" customHeight="false" outlineLevel="0" collapsed="false">
      <c r="A16" s="1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2026-09-25T03:57:19Z</dcterms:created>
  <dc:creator>openpyxl</dc:creator>
  <dc:description/>
  <dc:language>en-IN</dc:language>
  <cp:lastModifiedBy/>
  <dcterms:modified xsi:type="dcterms:W3CDTF">2026-09-25T03:57:19Z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